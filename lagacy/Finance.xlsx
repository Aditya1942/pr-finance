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ahil Halani\Documents\"/>
    </mc:Choice>
  </mc:AlternateContent>
  <xr:revisionPtr revIDLastSave="0" documentId="13_ncr:1_{91505796-3674-4020-A738-0E00602322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Data" sheetId="3" r:id="rId2"/>
    <sheet name="Analyse" sheetId="4" r:id="rId3"/>
    <sheet name="Sheet2" sheetId="2" r:id="rId4"/>
  </sheets>
  <definedNames>
    <definedName name="_xlcn.WorksheetConnection_Finance.xlsxTable71" hidden="1">Table7</definedName>
    <definedName name="ExternalData_1" localSheetId="1" hidden="1">Data!$B$22:$D$23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9" i="1" l="1"/>
  <c r="G139" i="1"/>
  <c r="D23" i="2"/>
  <c r="C5" i="3"/>
  <c r="K17" i="1" a="1"/>
  <c r="K17" i="1" s="1"/>
  <c r="C6" i="3"/>
  <c r="C3" i="3"/>
  <c r="O7" i="1"/>
  <c r="C7" i="3" s="1"/>
  <c r="O13" i="1" l="1"/>
  <c r="C4" i="3"/>
  <c r="C8" i="3" s="1"/>
  <c r="O18" i="1"/>
  <c r="I24" i="2"/>
  <c r="O24" i="1" l="1"/>
  <c r="L11" i="1"/>
  <c r="J11" i="1" s="1"/>
  <c r="D10" i="2"/>
  <c r="L24" i="1" l="1"/>
  <c r="D2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Sahil Halani</author>
  </authors>
  <commentList>
    <comment ref="D6" authorId="0" shapeId="0" xr:uid="{55129579-B8E5-4E39-9D32-6A53D35C49EF}">
      <text>
        <r>
          <rPr>
            <b/>
            <sz val="9"/>
            <color indexed="81"/>
            <rFont val="Tahoma"/>
            <family val="2"/>
          </rPr>
          <t>Sahil Halani:</t>
        </r>
        <r>
          <rPr>
            <sz val="9"/>
            <color indexed="81"/>
            <rFont val="Tahoma"/>
            <family val="2"/>
          </rPr>
          <t xml:space="preserve">
11,50,070 INR</t>
        </r>
      </text>
    </comment>
    <comment ref="G6" authorId="0" shapeId="0" xr:uid="{3B28C4B2-4008-4C94-AA51-95169663B0F2}">
      <text>
        <r>
          <rPr>
            <b/>
            <sz val="9"/>
            <color indexed="81"/>
            <rFont val="Tahoma"/>
            <family val="2"/>
          </rPr>
          <t>Sahil Halani:</t>
        </r>
        <r>
          <rPr>
            <sz val="9"/>
            <color indexed="81"/>
            <rFont val="Tahoma"/>
            <family val="2"/>
          </rPr>
          <t xml:space="preserve">
INR 10,531.09</t>
        </r>
      </text>
    </comment>
    <comment ref="C7" authorId="0" shapeId="0" xr:uid="{FCE7DAAE-CEA7-447C-9147-202FF377C700}">
      <text>
        <r>
          <rPr>
            <b/>
            <sz val="9"/>
            <color indexed="81"/>
            <rFont val="Tahoma"/>
            <charset val="1"/>
          </rPr>
          <t>Sahil Halani:</t>
        </r>
        <r>
          <rPr>
            <sz val="9"/>
            <color indexed="81"/>
            <rFont val="Tahoma"/>
            <charset val="1"/>
          </rPr>
          <t xml:space="preserve">
Addidas Jacket</t>
        </r>
      </text>
    </comment>
    <comment ref="G7" authorId="0" shapeId="0" xr:uid="{5F3240D7-0EAA-456B-A474-F57817527906}">
      <text>
        <r>
          <rPr>
            <b/>
            <sz val="9"/>
            <color indexed="81"/>
            <rFont val="Tahoma"/>
            <family val="2"/>
          </rPr>
          <t>Sahil Halani:</t>
        </r>
        <r>
          <rPr>
            <sz val="9"/>
            <color indexed="81"/>
            <rFont val="Tahoma"/>
            <family val="2"/>
          </rPr>
          <t xml:space="preserve">
INR 11,189</t>
        </r>
      </text>
    </comment>
    <comment ref="L7" authorId="0" shapeId="0" xr:uid="{82564140-89EE-4CD8-B6E4-2B85EABC77A1}">
      <text>
        <r>
          <rPr>
            <b/>
            <sz val="9"/>
            <color indexed="81"/>
            <rFont val="Tahoma"/>
            <family val="2"/>
          </rPr>
          <t xml:space="preserve">
Total Loan: 
</t>
        </r>
        <r>
          <rPr>
            <sz val="9"/>
            <color indexed="81"/>
            <rFont val="Tahoma"/>
            <charset val="1"/>
          </rPr>
          <t xml:space="preserve">INR 17,83,759
</t>
        </r>
        <r>
          <rPr>
            <b/>
            <sz val="9"/>
            <color indexed="81"/>
            <rFont val="Tahoma"/>
            <family val="2"/>
          </rPr>
          <t>Principle Paid:</t>
        </r>
        <r>
          <rPr>
            <sz val="9"/>
            <color indexed="81"/>
            <rFont val="Tahoma"/>
            <charset val="1"/>
          </rPr>
          <t xml:space="preserve">
12/09/24 INR 9,46,238
18/01/25 INR 1,94,249
03/03/25 INR 1,04,000
02/06/25 INR 50,000
</t>
        </r>
        <r>
          <rPr>
            <b/>
            <sz val="9"/>
            <color indexed="81"/>
            <rFont val="Tahoma"/>
            <family val="2"/>
          </rPr>
          <t>Interest Paid:</t>
        </r>
        <r>
          <rPr>
            <sz val="9"/>
            <color indexed="81"/>
            <rFont val="Tahoma"/>
            <charset val="1"/>
          </rPr>
          <t xml:space="preserve">
12/09/24 INR 1,53,762
18/01/25 INR 25,751
03/03/25 INR 6,260
02/06/25 INR 1000
</t>
        </r>
        <r>
          <rPr>
            <b/>
            <sz val="9"/>
            <color indexed="81"/>
            <rFont val="Tahoma"/>
            <family val="2"/>
          </rPr>
          <t xml:space="preserve">Remaining:
</t>
        </r>
        <r>
          <rPr>
            <sz val="9"/>
            <color indexed="81"/>
            <rFont val="Tahoma"/>
            <family val="2"/>
          </rPr>
          <t>INR 4,89000</t>
        </r>
      </text>
    </comment>
    <comment ref="G8" authorId="0" shapeId="0" xr:uid="{BCFC6559-6EF4-4188-87BC-BBCB3C741357}">
      <text>
        <r>
          <rPr>
            <b/>
            <sz val="9"/>
            <color indexed="81"/>
            <rFont val="Tahoma"/>
            <family val="2"/>
          </rPr>
          <t>Sahil Halani:</t>
        </r>
        <r>
          <rPr>
            <sz val="9"/>
            <color indexed="81"/>
            <rFont val="Tahoma"/>
            <family val="2"/>
          </rPr>
          <t xml:space="preserve">
INR 25,500</t>
        </r>
      </text>
    </comment>
    <comment ref="N9" authorId="0" shapeId="0" xr:uid="{185ABB4E-0C24-4290-8F80-57837F59B835}">
      <text>
        <r>
          <rPr>
            <b/>
            <sz val="9"/>
            <color indexed="81"/>
            <rFont val="Tahoma"/>
            <charset val="1"/>
          </rPr>
          <t>Sahil Halani:</t>
        </r>
        <r>
          <rPr>
            <sz val="9"/>
            <color indexed="81"/>
            <rFont val="Tahoma"/>
            <charset val="1"/>
          </rPr>
          <t xml:space="preserve">
11,37,389
Cureent have: 35,609</t>
        </r>
      </text>
    </comment>
    <comment ref="E10" authorId="0" shapeId="0" xr:uid="{DF2CB344-040C-4809-AA39-496C3A35A988}">
      <text>
        <r>
          <rPr>
            <b/>
            <sz val="9"/>
            <color indexed="81"/>
            <rFont val="Tahoma"/>
            <family val="2"/>
          </rPr>
          <t>Sahil Halani:</t>
        </r>
        <r>
          <rPr>
            <sz val="9"/>
            <color indexed="81"/>
            <rFont val="Tahoma"/>
            <family val="2"/>
          </rPr>
          <t xml:space="preserve">
Wages of January</t>
        </r>
      </text>
    </comment>
    <comment ref="N12" authorId="0" shapeId="0" xr:uid="{2899CB76-A552-436D-BA91-F0B47E375BD5}">
      <text>
        <r>
          <rPr>
            <b/>
            <sz val="9"/>
            <color indexed="81"/>
            <rFont val="Tahoma"/>
            <charset val="1"/>
          </rPr>
          <t xml:space="preserve">Sahil Halani
</t>
        </r>
        <r>
          <rPr>
            <sz val="9"/>
            <color indexed="81"/>
            <rFont val="Tahoma"/>
            <family val="2"/>
          </rPr>
          <t>INR 11,311.09</t>
        </r>
      </text>
    </comment>
    <comment ref="D13" authorId="0" shapeId="0" xr:uid="{9B34CE39-4367-46A2-821E-3D4535AF78AE}">
      <text>
        <r>
          <rPr>
            <b/>
            <sz val="9"/>
            <color indexed="81"/>
            <rFont val="Tahoma"/>
            <family val="2"/>
          </rPr>
          <t>Sahil Halani:</t>
        </r>
        <r>
          <rPr>
            <sz val="9"/>
            <color indexed="81"/>
            <rFont val="Tahoma"/>
            <family val="2"/>
          </rPr>
          <t xml:space="preserve">
INR 70,000</t>
        </r>
      </text>
    </comment>
    <comment ref="F14" authorId="0" shapeId="0" xr:uid="{91EFA3EB-6CC0-49BD-A7A0-8DE2200CE5F7}">
      <text>
        <r>
          <rPr>
            <b/>
            <sz val="9"/>
            <color indexed="81"/>
            <rFont val="Tahoma"/>
            <family val="2"/>
          </rPr>
          <t>Sahil Halani:</t>
        </r>
        <r>
          <rPr>
            <sz val="9"/>
            <color indexed="81"/>
            <rFont val="Tahoma"/>
            <family val="2"/>
          </rPr>
          <t xml:space="preserve">
15 Apr to 21 Apr </t>
        </r>
      </text>
    </comment>
    <comment ref="J14" authorId="0" shapeId="0" xr:uid="{547DD03D-9DBF-4F6B-B5EE-205B09DEFEFB}">
      <text>
        <r>
          <rPr>
            <b/>
            <sz val="9"/>
            <color indexed="81"/>
            <rFont val="Tahoma"/>
            <family val="2"/>
          </rPr>
          <t>Sahil Halani:</t>
        </r>
        <r>
          <rPr>
            <sz val="9"/>
            <color indexed="81"/>
            <rFont val="Tahoma"/>
            <family val="2"/>
          </rPr>
          <t xml:space="preserve">
First: £ 100
Then :£ 200
Paid on 17/09/24</t>
        </r>
      </text>
    </comment>
    <comment ref="J15" authorId="0" shapeId="0" xr:uid="{46FB909D-7524-476C-9589-731CE25C7140}">
      <text>
        <r>
          <rPr>
            <b/>
            <sz val="9"/>
            <color indexed="81"/>
            <rFont val="Tahoma"/>
            <family val="2"/>
          </rPr>
          <t>Sahil Halani:</t>
        </r>
        <r>
          <rPr>
            <sz val="9"/>
            <color indexed="81"/>
            <rFont val="Tahoma"/>
            <family val="2"/>
          </rPr>
          <t xml:space="preserve">
Balance: £ 50
Jacket: £ 45
Paid on 17/09/24</t>
        </r>
      </text>
    </comment>
    <comment ref="F16" authorId="0" shapeId="0" xr:uid="{99709E7F-E00A-454E-944A-6D7E54032B2C}">
      <text>
        <r>
          <rPr>
            <b/>
            <sz val="9"/>
            <color indexed="81"/>
            <rFont val="Tahoma"/>
            <family val="2"/>
          </rPr>
          <t>Sahil Halani:</t>
        </r>
        <r>
          <rPr>
            <sz val="9"/>
            <color indexed="81"/>
            <rFont val="Tahoma"/>
            <family val="2"/>
          </rPr>
          <t xml:space="preserve">
22 Apr to 05 May</t>
        </r>
      </text>
    </comment>
    <comment ref="J16" authorId="0" shapeId="0" xr:uid="{2DE7D2FB-ABF7-4E9C-8100-E443152EA6BF}">
      <text>
        <r>
          <rPr>
            <b/>
            <sz val="9"/>
            <color indexed="81"/>
            <rFont val="Tahoma"/>
            <family val="2"/>
          </rPr>
          <t>Sahil Halani:</t>
        </r>
        <r>
          <rPr>
            <sz val="9"/>
            <color indexed="81"/>
            <rFont val="Tahoma"/>
            <family val="2"/>
          </rPr>
          <t xml:space="preserve">
£2500 Loan Taken For College Fees on 03/06.
- First EMI £850 on 08/07
- Second EMI £750 on 06/08
- Third EMI £900 on 03/09</t>
        </r>
      </text>
    </comment>
    <comment ref="F17" authorId="0" shapeId="0" xr:uid="{B1F6C55A-45FC-48E5-BED7-A21CB3945DD4}">
      <text>
        <r>
          <rPr>
            <b/>
            <sz val="9"/>
            <color indexed="81"/>
            <rFont val="Tahoma"/>
            <family val="2"/>
          </rPr>
          <t>Sahil Halani:</t>
        </r>
        <r>
          <rPr>
            <sz val="9"/>
            <color indexed="81"/>
            <rFont val="Tahoma"/>
            <family val="2"/>
          </rPr>
          <t xml:space="preserve">
06 May to 19 May</t>
        </r>
      </text>
    </comment>
    <comment ref="K17" authorId="0" shapeId="0" xr:uid="{6E133787-94D0-4FED-AE93-8C5D1D0D392B}">
      <text>
        <r>
          <rPr>
            <b/>
            <sz val="9"/>
            <color indexed="81"/>
            <rFont val="Tahoma"/>
            <charset val="1"/>
          </rPr>
          <t xml:space="preserve">Sahil Halani:
</t>
        </r>
        <r>
          <rPr>
            <sz val="9"/>
            <color indexed="81"/>
            <rFont val="Tahoma"/>
            <charset val="1"/>
          </rPr>
          <t xml:space="preserve">
</t>
        </r>
        <r>
          <rPr>
            <b/>
            <sz val="9"/>
            <color indexed="81"/>
            <rFont val="Tahoma"/>
            <family val="2"/>
          </rPr>
          <t>Total Loan:</t>
        </r>
        <r>
          <rPr>
            <sz val="9"/>
            <color indexed="81"/>
            <rFont val="Tahoma"/>
            <charset val="1"/>
          </rPr>
          <t xml:space="preserve">
INR 6,00,000
</t>
        </r>
        <r>
          <rPr>
            <b/>
            <sz val="9"/>
            <color indexed="81"/>
            <rFont val="Tahoma"/>
            <family val="2"/>
          </rPr>
          <t>Amount Paid:</t>
        </r>
        <r>
          <rPr>
            <sz val="9"/>
            <color indexed="81"/>
            <rFont val="Tahoma"/>
            <charset val="1"/>
          </rPr>
          <t xml:space="preserve">
09/10 Paid INR 50,000
18/11 Paid INR 50,000
</t>
        </r>
        <r>
          <rPr>
            <b/>
            <sz val="9"/>
            <color indexed="81"/>
            <rFont val="Tahoma"/>
            <family val="2"/>
          </rPr>
          <t xml:space="preserve">Remaining:
</t>
        </r>
        <r>
          <rPr>
            <sz val="9"/>
            <color indexed="81"/>
            <rFont val="Tahoma"/>
            <family val="2"/>
          </rPr>
          <t>INR 5,00,000</t>
        </r>
      </text>
    </comment>
    <comment ref="N17" authorId="0" shapeId="0" xr:uid="{D08E5A78-0AEA-4F32-ACB7-E8F353F6D0DD}">
      <text>
        <r>
          <rPr>
            <b/>
            <sz val="9"/>
            <color indexed="81"/>
            <rFont val="Tahoma"/>
            <family val="2"/>
          </rPr>
          <t>Sahil Halani:</t>
        </r>
        <r>
          <rPr>
            <sz val="9"/>
            <color indexed="81"/>
            <rFont val="Tahoma"/>
            <family val="2"/>
          </rPr>
          <t xml:space="preserve">
INR 10,000</t>
        </r>
      </text>
    </comment>
    <comment ref="N18" authorId="0" shapeId="0" xr:uid="{57A7BC12-4E8E-4E27-8067-F2BB35CE7974}">
      <text>
        <r>
          <rPr>
            <b/>
            <sz val="9"/>
            <color indexed="81"/>
            <rFont val="Tahoma"/>
            <family val="2"/>
          </rPr>
          <t>Sahil Halani:</t>
        </r>
        <r>
          <rPr>
            <sz val="9"/>
            <color indexed="81"/>
            <rFont val="Tahoma"/>
            <family val="2"/>
          </rPr>
          <t xml:space="preserve">
INR 32,807.65</t>
        </r>
      </text>
    </comment>
    <comment ref="F19" authorId="0" shapeId="0" xr:uid="{B194372A-2E48-4690-B57F-B8796329000F}">
      <text>
        <r>
          <rPr>
            <b/>
            <sz val="9"/>
            <color indexed="81"/>
            <rFont val="Tahoma"/>
            <family val="2"/>
          </rPr>
          <t>Sahil Halani:</t>
        </r>
        <r>
          <rPr>
            <sz val="9"/>
            <color indexed="81"/>
            <rFont val="Tahoma"/>
            <family val="2"/>
          </rPr>
          <t xml:space="preserve">
May 20 to  Jun 02</t>
        </r>
      </text>
    </comment>
    <comment ref="C20" authorId="0" shapeId="0" xr:uid="{DF655E33-8422-412C-BBD2-AD75595E1903}">
      <text>
        <r>
          <rPr>
            <b/>
            <sz val="9"/>
            <color indexed="81"/>
            <rFont val="Tahoma"/>
            <charset val="1"/>
          </rPr>
          <t>Sahil Halani:</t>
        </r>
        <r>
          <rPr>
            <sz val="9"/>
            <color indexed="81"/>
            <rFont val="Tahoma"/>
            <charset val="1"/>
          </rPr>
          <t xml:space="preserve">
Cloth Trake from Primark</t>
        </r>
      </text>
    </comment>
    <comment ref="C22" authorId="0" shapeId="0" xr:uid="{093783A4-ABB7-4EDA-BE28-AD26CBD33AE4}">
      <text>
        <r>
          <rPr>
            <b/>
            <sz val="9"/>
            <color indexed="81"/>
            <rFont val="Tahoma"/>
            <charset val="1"/>
          </rPr>
          <t>Sahil Halani:</t>
        </r>
        <r>
          <rPr>
            <sz val="9"/>
            <color indexed="81"/>
            <rFont val="Tahoma"/>
            <charset val="1"/>
          </rPr>
          <t xml:space="preserve">
Clothes Pant KFC</t>
        </r>
      </text>
    </comment>
    <comment ref="D23" authorId="0" shapeId="0" xr:uid="{00D6B8BD-7075-42AD-A087-34EB189ABA81}">
      <text>
        <r>
          <rPr>
            <b/>
            <sz val="9"/>
            <color indexed="81"/>
            <rFont val="Tahoma"/>
            <family val="2"/>
          </rPr>
          <t>Sahil Halani:</t>
        </r>
        <r>
          <rPr>
            <sz val="9"/>
            <color indexed="81"/>
            <rFont val="Tahoma"/>
            <family val="2"/>
          </rPr>
          <t xml:space="preserve">
INR 12,800</t>
        </r>
      </text>
    </comment>
    <comment ref="D24" authorId="0" shapeId="0" xr:uid="{D8AD482A-1275-468D-8594-9698321BBC94}">
      <text>
        <r>
          <rPr>
            <b/>
            <sz val="9"/>
            <color indexed="81"/>
            <rFont val="Tahoma"/>
            <family val="2"/>
          </rPr>
          <t>Sahil Halani:</t>
        </r>
        <r>
          <rPr>
            <sz val="9"/>
            <color indexed="81"/>
            <rFont val="Tahoma"/>
            <family val="2"/>
          </rPr>
          <t xml:space="preserve">
INR 3,500</t>
        </r>
      </text>
    </comment>
    <comment ref="C34" authorId="0" shapeId="0" xr:uid="{B6C4A40F-0101-42F7-95A4-655AA709361E}">
      <text>
        <r>
          <rPr>
            <b/>
            <sz val="9"/>
            <color indexed="81"/>
            <rFont val="Tahoma"/>
            <charset val="1"/>
          </rPr>
          <t>Sahil Halani:</t>
        </r>
        <r>
          <rPr>
            <sz val="9"/>
            <color indexed="81"/>
            <rFont val="Tahoma"/>
            <charset val="1"/>
          </rPr>
          <t xml:space="preserve">
Paid Salim for Jan-Mar Home Expense</t>
        </r>
      </text>
    </comment>
    <comment ref="C36" authorId="0" shapeId="0" xr:uid="{A2EECE96-D025-4497-A447-77057680664A}">
      <text>
        <r>
          <rPr>
            <b/>
            <sz val="9"/>
            <color indexed="81"/>
            <rFont val="Tahoma"/>
            <family val="2"/>
          </rPr>
          <t>Sahil Halani:</t>
        </r>
        <r>
          <rPr>
            <sz val="9"/>
            <color indexed="81"/>
            <rFont val="Tahoma"/>
            <family val="2"/>
          </rPr>
          <t xml:space="preserve">
House expense of Jun24 </t>
        </r>
      </text>
    </comment>
    <comment ref="G36" authorId="0" shapeId="0" xr:uid="{FC4BE889-A326-40AC-BCB6-45A162756D78}">
      <text>
        <r>
          <rPr>
            <b/>
            <sz val="9"/>
            <color indexed="81"/>
            <rFont val="Tahoma"/>
            <family val="2"/>
          </rPr>
          <t>Sahil Halani:</t>
        </r>
        <r>
          <rPr>
            <sz val="9"/>
            <color indexed="81"/>
            <rFont val="Tahoma"/>
            <family val="2"/>
          </rPr>
          <t xml:space="preserve">
INR 97</t>
        </r>
      </text>
    </comment>
    <comment ref="F42" authorId="0" shapeId="0" xr:uid="{5E8262A7-042B-40AE-9191-10CD282BDD36}">
      <text>
        <r>
          <rPr>
            <b/>
            <sz val="9"/>
            <color indexed="81"/>
            <rFont val="Tahoma"/>
            <family val="2"/>
          </rPr>
          <t>Sahil Halani:</t>
        </r>
        <r>
          <rPr>
            <sz val="9"/>
            <color indexed="81"/>
            <rFont val="Tahoma"/>
            <family val="2"/>
          </rPr>
          <t xml:space="preserve">
F&amp;F</t>
        </r>
      </text>
    </comment>
    <comment ref="D44" authorId="0" shapeId="0" xr:uid="{EE36327B-6A72-4D05-844D-F9039A555D36}">
      <text>
        <r>
          <rPr>
            <b/>
            <sz val="9"/>
            <color indexed="81"/>
            <rFont val="Tahoma"/>
            <family val="2"/>
          </rPr>
          <t>Sahil Halani:</t>
        </r>
        <r>
          <rPr>
            <sz val="9"/>
            <color indexed="81"/>
            <rFont val="Tahoma"/>
            <family val="2"/>
          </rPr>
          <t xml:space="preserve">
10,000</t>
        </r>
      </text>
    </comment>
    <comment ref="D56" authorId="0" shapeId="0" xr:uid="{DFF369C8-9244-494A-BAC0-33B2F598D3CE}">
      <text>
        <r>
          <rPr>
            <b/>
            <sz val="9"/>
            <color indexed="81"/>
            <rFont val="Tahoma"/>
            <family val="2"/>
          </rPr>
          <t>Sahil Halani:</t>
        </r>
        <r>
          <rPr>
            <sz val="9"/>
            <color indexed="81"/>
            <rFont val="Tahoma"/>
            <family val="2"/>
          </rPr>
          <t xml:space="preserve">
INR 1,53,762 Interest Paid till the date</t>
        </r>
      </text>
    </comment>
    <comment ref="G58" authorId="0" shapeId="0" xr:uid="{42EE0D5A-5974-4730-82B2-5106CFDF9968}">
      <text>
        <r>
          <rPr>
            <b/>
            <sz val="9"/>
            <color indexed="81"/>
            <rFont val="Tahoma"/>
            <family val="2"/>
          </rPr>
          <t>Sahil Halani:</t>
        </r>
        <r>
          <rPr>
            <sz val="9"/>
            <color indexed="81"/>
            <rFont val="Tahoma"/>
            <family val="2"/>
          </rPr>
          <t xml:space="preserve">
INR 50,000
</t>
        </r>
      </text>
    </comment>
    <comment ref="D90" authorId="0" shapeId="0" xr:uid="{9EAADB14-4D03-4DFB-B7E1-E3FC38507C25}">
      <text>
        <r>
          <rPr>
            <b/>
            <sz val="9"/>
            <color indexed="81"/>
            <rFont val="Tahoma"/>
            <charset val="1"/>
          </rPr>
          <t>Sahil Halani:</t>
        </r>
        <r>
          <rPr>
            <sz val="9"/>
            <color indexed="81"/>
            <rFont val="Tahoma"/>
            <charset val="1"/>
          </rPr>
          <t xml:space="preserve">
INR 25,751</t>
        </r>
      </text>
    </comment>
    <comment ref="C91" authorId="0" shapeId="0" xr:uid="{5D9B963B-1631-48C4-84AF-CAB6A28022A2}">
      <text>
        <r>
          <rPr>
            <b/>
            <sz val="9"/>
            <color indexed="81"/>
            <rFont val="Tahoma"/>
            <charset val="1"/>
          </rPr>
          <t>Sahil Halani:</t>
        </r>
        <r>
          <rPr>
            <sz val="9"/>
            <color indexed="81"/>
            <rFont val="Tahoma"/>
            <charset val="1"/>
          </rPr>
          <t xml:space="preserve">
Gym: 20.69
Protien Powder : 44</t>
        </r>
      </text>
    </comment>
    <comment ref="C95" authorId="0" shapeId="0" xr:uid="{019FB45A-8E21-4DF2-9D2E-F3E0E8B2E14E}">
      <text>
        <r>
          <rPr>
            <b/>
            <sz val="9"/>
            <color indexed="81"/>
            <rFont val="Tahoma"/>
            <charset val="1"/>
          </rPr>
          <t>Sahil Halani:</t>
        </r>
        <r>
          <rPr>
            <sz val="9"/>
            <color indexed="81"/>
            <rFont val="Tahoma"/>
            <charset val="1"/>
          </rPr>
          <t xml:space="preserve">
Gym: 20.69
</t>
        </r>
      </text>
    </comment>
    <comment ref="D101" authorId="0" shapeId="0" xr:uid="{22DBCECB-F4D9-4068-B909-88BCFD5466AB}">
      <text>
        <r>
          <rPr>
            <b/>
            <sz val="9"/>
            <color indexed="81"/>
            <rFont val="Tahoma"/>
            <charset val="1"/>
          </rPr>
          <t>Sahil Halani:</t>
        </r>
        <r>
          <rPr>
            <sz val="9"/>
            <color indexed="81"/>
            <rFont val="Tahoma"/>
            <charset val="1"/>
          </rPr>
          <t xml:space="preserve">
INR 6,260</t>
        </r>
      </text>
    </comment>
    <comment ref="C102" authorId="0" shapeId="0" xr:uid="{29D8C81B-0F12-43D5-9D3F-A4D451201494}">
      <text>
        <r>
          <rPr>
            <b/>
            <sz val="9"/>
            <color indexed="81"/>
            <rFont val="Tahoma"/>
            <charset val="1"/>
          </rPr>
          <t>Sahil Halani:</t>
        </r>
        <r>
          <rPr>
            <sz val="9"/>
            <color indexed="81"/>
            <rFont val="Tahoma"/>
            <charset val="1"/>
          </rPr>
          <t xml:space="preserve">
Gym: £ 20.69</t>
        </r>
      </text>
    </comment>
    <comment ref="C110" authorId="0" shapeId="0" xr:uid="{B970DCB4-D210-4802-A7F1-30BBAC3CDDE7}">
      <text>
        <r>
          <rPr>
            <b/>
            <sz val="9"/>
            <color indexed="81"/>
            <rFont val="Tahoma"/>
            <charset val="1"/>
          </rPr>
          <t>Sahil Halani:</t>
        </r>
        <r>
          <rPr>
            <sz val="9"/>
            <color indexed="81"/>
            <rFont val="Tahoma"/>
            <charset val="1"/>
          </rPr>
          <t xml:space="preserve">
Leiester 2 day trip</t>
        </r>
      </text>
    </comment>
    <comment ref="C112" authorId="0" shapeId="0" xr:uid="{E92E0F54-D2F8-496E-9532-6C68F0D07244}">
      <text>
        <r>
          <rPr>
            <b/>
            <sz val="9"/>
            <color indexed="81"/>
            <rFont val="Tahoma"/>
            <charset val="1"/>
          </rPr>
          <t>Sahil Halani:</t>
        </r>
        <r>
          <rPr>
            <sz val="9"/>
            <color indexed="81"/>
            <rFont val="Tahoma"/>
            <charset val="1"/>
          </rPr>
          <t xml:space="preserve">
Bose Speaker</t>
        </r>
      </text>
    </comment>
    <comment ref="C120" authorId="0" shapeId="0" xr:uid="{7BC5682F-AEB4-44D9-91D1-2102059BAB62}">
      <text>
        <r>
          <rPr>
            <b/>
            <sz val="9"/>
            <color indexed="81"/>
            <rFont val="Tahoma"/>
            <charset val="1"/>
          </rPr>
          <t>Sahil Halani:</t>
        </r>
        <r>
          <rPr>
            <sz val="9"/>
            <color indexed="81"/>
            <rFont val="Tahoma"/>
            <charset val="1"/>
          </rPr>
          <t xml:space="preserve">
Whey protien: £ 28.95</t>
        </r>
      </text>
    </comment>
    <comment ref="C124" authorId="0" shapeId="0" xr:uid="{C7BE2125-64C2-4E58-9074-9FD0B65FC154}">
      <text>
        <r>
          <rPr>
            <b/>
            <sz val="9"/>
            <color indexed="81"/>
            <rFont val="Tahoma"/>
            <charset val="1"/>
          </rPr>
          <t>Sahil Halani:</t>
        </r>
        <r>
          <rPr>
            <sz val="9"/>
            <color indexed="81"/>
            <rFont val="Tahoma"/>
            <charset val="1"/>
          </rPr>
          <t xml:space="preserve">
INR 15,000</t>
        </r>
      </text>
    </comment>
    <comment ref="C127" authorId="0" shapeId="0" xr:uid="{DA520E5A-77A7-41DD-9077-41EF31B02F26}">
      <text>
        <r>
          <rPr>
            <b/>
            <sz val="9"/>
            <color indexed="81"/>
            <rFont val="Tahoma"/>
            <charset val="1"/>
          </rPr>
          <t>Sahil Halani:</t>
        </r>
        <r>
          <rPr>
            <sz val="9"/>
            <color indexed="81"/>
            <rFont val="Tahoma"/>
            <charset val="1"/>
          </rPr>
          <t xml:space="preserve">
</t>
        </r>
        <r>
          <rPr>
            <sz val="9"/>
            <color indexed="81"/>
            <rFont val="Tahoma"/>
            <family val="2"/>
          </rPr>
          <t>INR 15,340.30</t>
        </r>
      </text>
    </comment>
    <comment ref="C134" authorId="0" shapeId="0" xr:uid="{E77085E2-14E2-45F9-A594-D0769240FDBB}">
      <text>
        <r>
          <rPr>
            <b/>
            <sz val="9"/>
            <color indexed="81"/>
            <rFont val="Tahoma"/>
            <charset val="1"/>
          </rPr>
          <t>Sahil Halani:</t>
        </r>
        <r>
          <rPr>
            <sz val="9"/>
            <color indexed="81"/>
            <rFont val="Tahoma"/>
            <charset val="1"/>
          </rPr>
          <t xml:space="preserve">
Wales</t>
        </r>
      </text>
    </comment>
    <comment ref="C136" authorId="0" shapeId="0" xr:uid="{F3BC0C71-350D-46A0-B477-C8201DD5A6D9}">
      <text>
        <r>
          <rPr>
            <b/>
            <sz val="9"/>
            <color indexed="81"/>
            <rFont val="Tahoma"/>
            <charset val="1"/>
          </rPr>
          <t>Sahil Halani:</t>
        </r>
        <r>
          <rPr>
            <sz val="9"/>
            <color indexed="81"/>
            <rFont val="Tahoma"/>
            <charset val="1"/>
          </rPr>
          <t xml:space="preserve">
JBL Speaker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Sahil Halani</author>
  </authors>
  <commentList>
    <comment ref="I20" authorId="0" shapeId="0" xr:uid="{561F68B3-58C0-422D-B83B-2B24CDD82D95}">
      <text>
        <r>
          <rPr>
            <b/>
            <sz val="9"/>
            <color indexed="81"/>
            <rFont val="Tahoma"/>
            <charset val="1"/>
          </rPr>
          <t>Sahil Halani: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B053FF-3FAF-4332-BC82-DFE72393379B}" keepAlive="1" name="Query - Indian Rupee Exchange Rates Table   Converter" description="Connection to the 'Indian Rupee Exchange Rates Table   Converter' query in the workbook." type="5" refreshedVersion="8" background="1" saveData="1">
    <dbPr connection="Provider=Microsoft.Mashup.OleDb.1;Data Source=$Workbook$;Location=&quot;Indian Rupee Exchange Rates Table   Converter&quot;;Extended Properties=&quot;&quot;" command="SELECT * FROM [Indian Rupee Exchange Rates Table   Converter]"/>
  </connection>
  <connection id="2" xr16:uid="{B593208A-4689-4D8C-A901-D9F5B9EFF46B}" name="WorksheetConnection_Finance.xlsx!Table7" type="102" refreshedVersion="8" minRefreshableVersion="5">
    <extLst>
      <ext xmlns:x15="http://schemas.microsoft.com/office/spreadsheetml/2010/11/main" uri="{DE250136-89BD-433C-8126-D09CA5730AF9}">
        <x15:connection id="Table7">
          <x15:rangePr sourceName="_xlcn.WorksheetConnection_Finance.xlsxTable7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<sst xmlns="http://schemas.openxmlformats.org/spreadsheetml/2006/main" count="374" uniqueCount="141">
  <si>
    <t>Date</t>
  </si>
  <si>
    <t>Particular</t>
  </si>
  <si>
    <t>Amount</t>
  </si>
  <si>
    <t>Profit &amp; Loss Account</t>
  </si>
  <si>
    <t>Dr</t>
  </si>
  <si>
    <t>Cr</t>
  </si>
  <si>
    <t>Total</t>
  </si>
  <si>
    <t>Natwest Switch Offer</t>
  </si>
  <si>
    <t>Mobile Recharge</t>
  </si>
  <si>
    <t>Gift For India</t>
  </si>
  <si>
    <t>Transportation</t>
  </si>
  <si>
    <t>Balance Sheet</t>
  </si>
  <si>
    <t>Assets</t>
  </si>
  <si>
    <t>Liabilities</t>
  </si>
  <si>
    <t>Cash in Hand</t>
  </si>
  <si>
    <t>Bank</t>
  </si>
  <si>
    <t>Llyods</t>
  </si>
  <si>
    <t>Cash</t>
  </si>
  <si>
    <t>Manish Bhai</t>
  </si>
  <si>
    <t>Loans</t>
  </si>
  <si>
    <t>Sima Didi</t>
  </si>
  <si>
    <t>Capital</t>
  </si>
  <si>
    <t>Mataji First Salary</t>
  </si>
  <si>
    <t>Total Expense To Reach U.K</t>
  </si>
  <si>
    <t>Father's Account</t>
  </si>
  <si>
    <t>College 2nd Sem Fees</t>
  </si>
  <si>
    <t>Account Payable</t>
  </si>
  <si>
    <t>INCOME</t>
  </si>
  <si>
    <t>Expense</t>
  </si>
  <si>
    <t>S.r</t>
  </si>
  <si>
    <t>IELTS Classes Fees</t>
  </si>
  <si>
    <t>Money Taken From Hitesh bhai</t>
  </si>
  <si>
    <t>IELTS Exam Fees</t>
  </si>
  <si>
    <t>SAP paid to Parth bhai contact</t>
  </si>
  <si>
    <t>Loan Processing Fee</t>
  </si>
  <si>
    <t>Deposit to SHU</t>
  </si>
  <si>
    <t>Medical test for UK</t>
  </si>
  <si>
    <t>Minimum enrollment fee to SHU</t>
  </si>
  <si>
    <t>IHS Health insurance for UK Visa</t>
  </si>
  <si>
    <t>Visa file charge</t>
  </si>
  <si>
    <t>Flight Ticket</t>
  </si>
  <si>
    <t>01-Dec to 11-Dec</t>
  </si>
  <si>
    <t>Shopping</t>
  </si>
  <si>
    <t>Loan EMI till Dec 3 months</t>
  </si>
  <si>
    <t>Other Expense</t>
  </si>
  <si>
    <t>18/022024</t>
  </si>
  <si>
    <t>Mataji a Pelo pagar</t>
  </si>
  <si>
    <t>Total amount should have:</t>
  </si>
  <si>
    <t xml:space="preserve">  </t>
  </si>
  <si>
    <t xml:space="preserve">Total Amount after paying debt: </t>
  </si>
  <si>
    <t>Total Amount in S.B.I</t>
  </si>
  <si>
    <t>Anil Shoes</t>
  </si>
  <si>
    <t>Renish Courrier</t>
  </si>
  <si>
    <t>Provision License Charge</t>
  </si>
  <si>
    <t>Hair Cut</t>
  </si>
  <si>
    <t>Assessment PPT</t>
  </si>
  <si>
    <t>Provision License Post Charge</t>
  </si>
  <si>
    <t>Monzo Referal Bonus</t>
  </si>
  <si>
    <t>Suji Wages</t>
  </si>
  <si>
    <t>KFC</t>
  </si>
  <si>
    <t>Dream</t>
  </si>
  <si>
    <t>Starling Interest</t>
  </si>
  <si>
    <t xml:space="preserve">Taken for home expense </t>
  </si>
  <si>
    <t>EMI Assessment</t>
  </si>
  <si>
    <t>Living Expense</t>
  </si>
  <si>
    <t>Sima Didi Gift Rakshabandhan</t>
  </si>
  <si>
    <t>Sister's Gift Rakshabandhan</t>
  </si>
  <si>
    <t>ICB Assessment Paid To Praj</t>
  </si>
  <si>
    <t>Sahil India</t>
  </si>
  <si>
    <t>RTGS</t>
  </si>
  <si>
    <t>Loan Disbursed (Including INR 16015 of Insurance )</t>
  </si>
  <si>
    <t>Insurance HDFC Loan</t>
  </si>
  <si>
    <t>Hitesh Bhai</t>
  </si>
  <si>
    <t>EMI Asssissment</t>
  </si>
  <si>
    <t>Aditya Old Debt</t>
  </si>
  <si>
    <t>Home Furnicture</t>
  </si>
  <si>
    <t>HDFC Student Loan</t>
  </si>
  <si>
    <t xml:space="preserve">HDFC LOAN Interest </t>
  </si>
  <si>
    <t>Investment</t>
  </si>
  <si>
    <t>SIP</t>
  </si>
  <si>
    <t>Remetly Charge</t>
  </si>
  <si>
    <t>DL Theory Test</t>
  </si>
  <si>
    <t>IMS Salary</t>
  </si>
  <si>
    <t>IMS FNF</t>
  </si>
  <si>
    <t>HDFC Opening Balance</t>
  </si>
  <si>
    <t>Stock Market</t>
  </si>
  <si>
    <t>Eat Out</t>
  </si>
  <si>
    <t>Jan</t>
  </si>
  <si>
    <t>Feb</t>
  </si>
  <si>
    <t>Mar</t>
  </si>
  <si>
    <t>Bank &amp; Cash</t>
  </si>
  <si>
    <t>Sum of Amount</t>
  </si>
  <si>
    <t>Apr</t>
  </si>
  <si>
    <t>May</t>
  </si>
  <si>
    <t>Jun</t>
  </si>
  <si>
    <t>Jul</t>
  </si>
  <si>
    <t>Aug</t>
  </si>
  <si>
    <t>Sep</t>
  </si>
  <si>
    <t>Oct</t>
  </si>
  <si>
    <t>Dec</t>
  </si>
  <si>
    <t>Grand Total</t>
  </si>
  <si>
    <t>Row Labels</t>
  </si>
  <si>
    <t>2024</t>
  </si>
  <si>
    <t>Income</t>
  </si>
  <si>
    <t>Nov</t>
  </si>
  <si>
    <t xml:space="preserve">Date </t>
  </si>
  <si>
    <t>Particular2</t>
  </si>
  <si>
    <t xml:space="preserve">Amount </t>
  </si>
  <si>
    <t xml:space="preserve">Total </t>
  </si>
  <si>
    <t xml:space="preserve">Sum of Amount </t>
  </si>
  <si>
    <t>Column Labels</t>
  </si>
  <si>
    <t>Currys</t>
  </si>
  <si>
    <t>HDFC Debit Card Charge</t>
  </si>
  <si>
    <t>All Conversion GBP 1 = 107.59 on 05 dec</t>
  </si>
  <si>
    <t>HDFC Interest</t>
  </si>
  <si>
    <t>Indian Rupee</t>
  </si>
  <si>
    <t>1.00 INR</t>
  </si>
  <si>
    <t>inv. 1.00 INR</t>
  </si>
  <si>
    <t>British Pound</t>
  </si>
  <si>
    <t>For Live Currency</t>
  </si>
  <si>
    <t>Assessment MDM</t>
  </si>
  <si>
    <t>Suji Cristmas Gift</t>
  </si>
  <si>
    <t>London Bus Expense</t>
  </si>
  <si>
    <t>Leichester Trip</t>
  </si>
  <si>
    <t>2025</t>
  </si>
  <si>
    <t>Expense by Categories</t>
  </si>
  <si>
    <t>`</t>
  </si>
  <si>
    <t>4650 pappa kapda</t>
  </si>
  <si>
    <t>32692 had according to pappa</t>
  </si>
  <si>
    <t>30644 really had</t>
  </si>
  <si>
    <t>Travel</t>
  </si>
  <si>
    <t>Fitness</t>
  </si>
  <si>
    <t>Charity</t>
  </si>
  <si>
    <t>Dissertation</t>
  </si>
  <si>
    <t xml:space="preserve">Saving </t>
  </si>
  <si>
    <t>HDFC LOAN  Interest</t>
  </si>
  <si>
    <t>India home expense</t>
  </si>
  <si>
    <t>Papa gave for loan</t>
  </si>
  <si>
    <t>Google Stoarage</t>
  </si>
  <si>
    <t>Account Recievable</t>
  </si>
  <si>
    <t>Prajval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</si>
</sst>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[$£-809]* #,##0.00_-;\-[$£-809]* #,##0.00_-;_-[$£-809]* &quot;-&quot;??_-;_-@_-"/>
    <numFmt numFmtId="165" formatCode="[$INR]\ #,##0.00"/>
    <numFmt numFmtId="166" formatCode="_([$INR]\ * #,##0.00_);_([$INR]\ * \(#,##0.00\);_([$INR]\ * &quot;-&quot;??_);_(@_)"/>
    <numFmt numFmtId="167" formatCode="&quot;$&quot;#,##0.00"/>
    <numFmt numFmtId="168" formatCode="[$£-809]#,##0.00;\-[$£-809]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</borders>
  <cellStyleXfs count="2">
    <xf numFmtId="0" fontId="0" fillId="0" borderId="0"/>
    <xf numFmtId="164" fontId="1" fillId="0" borderId="1"/>
  </cellStyleXfs>
  <cellXfs count="26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  <xf numFmtId="164" fontId="1" fillId="0" borderId="1" xfId="1"/>
    <xf numFmtId="165" fontId="0" fillId="0" borderId="0" xfId="0" applyNumberFormat="1"/>
    <xf numFmtId="16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165" fontId="2" fillId="0" borderId="0" xfId="0" applyNumberFormat="1" applyFont="1"/>
    <xf numFmtId="166" fontId="2" fillId="0" borderId="0" xfId="0" applyNumberFormat="1" applyFont="1"/>
    <xf numFmtId="0" fontId="0" fillId="0" borderId="3" xfId="0" applyBorder="1"/>
    <xf numFmtId="164" fontId="1" fillId="0" borderId="0" xfId="1" applyBorder="1"/>
    <xf numFmtId="49" fontId="0" fillId="0" borderId="0" xfId="0" applyNumberFormat="1"/>
    <xf numFmtId="10" fontId="0" fillId="0" borderId="0" xfId="0" applyNumberFormat="1"/>
    <xf numFmtId="0" fontId="0" fillId="2" borderId="0" xfId="0" applyFill="1"/>
    <xf numFmtId="167" fontId="0" fillId="0" borderId="0" xfId="0" applyNumberFormat="1"/>
    <xf numFmtId="14" fontId="0" fillId="0" borderId="0" xfId="0" applyNumberFormat="1"/>
    <xf numFmtId="0" fontId="0" fillId="0" borderId="0" xfId="0" pivotButton="1"/>
    <xf numFmtId="14" fontId="0" fillId="0" borderId="2" xfId="0" applyNumberFormat="1" applyBorder="1"/>
    <xf numFmtId="0" fontId="0" fillId="0" borderId="0" xfId="0" applyAlignment="1">
      <alignment horizontal="left" indent="1"/>
    </xf>
    <xf numFmtId="14" fontId="2" fillId="0" borderId="0" xfId="0" applyNumberFormat="1" applyFont="1"/>
    <xf numFmtId="168" fontId="0" fillId="0" borderId="0" xfId="0" applyNumberFormat="1"/>
    <xf numFmtId="168" fontId="2" fillId="0" borderId="0" xfId="0" applyNumberFormat="1" applyFont="1"/>
  </cellXfs>
  <cellStyles count="2">
    <cellStyle name="Normal" xfId="0" builtinId="0"/>
    <cellStyle name="Style 1" xfId="1" xr:uid="{3150305C-C2BD-491F-9285-D50AD4562227}"/>
  </cellStyles>
  <dxfs count="17">
    <dxf>
      <numFmt numFmtId="168" formatCode="[$£-809]#,##0.00;\-[$£-809]#,##0.00"/>
    </dxf>
    <dxf>
      <numFmt numFmtId="168" formatCode="[$£-809]#,##0.00;\-[$£-809]#,##0.00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8" formatCode="[$£-809]#,##0.00;\-[$£-809]#,##0.00"/>
    </dxf>
    <dxf>
      <numFmt numFmtId="168" formatCode="[$£-809]#,##0.00;\-[$£-809]#,##0.00"/>
    </dxf>
    <dxf>
      <numFmt numFmtId="19" formatCode="dd/mm/yy"/>
    </dxf>
    <dxf>
      <numFmt numFmtId="165" formatCode="[$INR]\ #,##0.0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5" formatCode="[$INR]\ #,##0.00"/>
    </dxf>
    <dxf>
      <alignment horizontal="left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colors>
    <mruColors>
      <color rgb="FFFC4646"/>
      <color rgb="FFFF3300"/>
      <color rgb="FF66CC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10" Type="http://schemas.openxmlformats.org/officeDocument/2006/relationships/sheetMetadata" Target="metadata.xml"/><Relationship Id="rId19" Type="http://schemas.openxmlformats.org/officeDocument/2006/relationships/customXml" Target="../customXml/item8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[Finance.xlsx]Data!PivotTable16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Expense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Data!$H$4:$H$24</c:f>
              <c:multiLvlStrCache>
                <c:ptCount val="1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Data!$I$4:$I$24</c:f>
              <c:numCache>
                <c:formatCode>[$£-809]#,##0.00;\-[$£-809]#,##0.00</c:formatCode>
                <c:ptCount val="18"/>
                <c:pt idx="0">
                  <c:v>35.900000000000006</c:v>
                </c:pt>
                <c:pt idx="1">
                  <c:v>747.42</c:v>
                </c:pt>
                <c:pt idx="2">
                  <c:v>70.08</c:v>
                </c:pt>
                <c:pt idx="3">
                  <c:v>317.27999999999997</c:v>
                </c:pt>
                <c:pt idx="4">
                  <c:v>172.53999999999996</c:v>
                </c:pt>
                <c:pt idx="5">
                  <c:v>7113.9000000000005</c:v>
                </c:pt>
                <c:pt idx="6">
                  <c:v>586.4</c:v>
                </c:pt>
                <c:pt idx="7">
                  <c:v>538.27</c:v>
                </c:pt>
                <c:pt idx="8">
                  <c:v>2079.42</c:v>
                </c:pt>
                <c:pt idx="9">
                  <c:v>882.69</c:v>
                </c:pt>
                <c:pt idx="10">
                  <c:v>666.56000000000006</c:v>
                </c:pt>
                <c:pt idx="11">
                  <c:v>768.59</c:v>
                </c:pt>
                <c:pt idx="12">
                  <c:v>916.80000000000018</c:v>
                </c:pt>
                <c:pt idx="13">
                  <c:v>535.5</c:v>
                </c:pt>
                <c:pt idx="14">
                  <c:v>905.14399999999989</c:v>
                </c:pt>
                <c:pt idx="15">
                  <c:v>1109.8</c:v>
                </c:pt>
                <c:pt idx="16">
                  <c:v>754.76</c:v>
                </c:pt>
                <c:pt idx="17">
                  <c:v>27.34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67-47AE-86A5-F73B18049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502663135"/>
        <c:axId val="1709920048"/>
      </c:barChart>
      <c:catAx>
        <c:axId val="150266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920048"/>
        <c:crosses val="autoZero"/>
        <c:auto val="1"/>
        <c:lblAlgn val="ctr"/>
        <c:lblOffset val="100"/>
        <c:noMultiLvlLbl val="0"/>
      </c:catAx>
      <c:valAx>
        <c:axId val="170992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£-809]#,##0.00;\-[$£-8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663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[Finance.xlsx]Data!PivotTable17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8123976113724032E-2"/>
          <c:y val="0.25773302375664581"/>
          <c:w val="0.87670823865137659"/>
          <c:h val="0.491514570294097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Data!$F$3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multiLvlStrRef>
              <c:f>Data!$E$4:$E$24</c:f>
              <c:multiLvlStrCache>
                <c:ptCount val="1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Data!$F$4:$F$24</c:f>
              <c:numCache>
                <c:formatCode>General</c:formatCode>
                <c:ptCount val="18"/>
                <c:pt idx="0">
                  <c:v>680</c:v>
                </c:pt>
                <c:pt idx="1">
                  <c:v>690.52</c:v>
                </c:pt>
                <c:pt idx="2">
                  <c:v>540</c:v>
                </c:pt>
                <c:pt idx="3">
                  <c:v>956.36</c:v>
                </c:pt>
                <c:pt idx="4">
                  <c:v>1379.58</c:v>
                </c:pt>
                <c:pt idx="5">
                  <c:v>1175.8</c:v>
                </c:pt>
                <c:pt idx="6">
                  <c:v>1376.62</c:v>
                </c:pt>
                <c:pt idx="7">
                  <c:v>1544.45</c:v>
                </c:pt>
                <c:pt idx="8">
                  <c:v>2025.6799999999998</c:v>
                </c:pt>
                <c:pt idx="9">
                  <c:v>1229.99</c:v>
                </c:pt>
                <c:pt idx="10">
                  <c:v>1659.33</c:v>
                </c:pt>
                <c:pt idx="11">
                  <c:v>1037.26</c:v>
                </c:pt>
                <c:pt idx="12">
                  <c:v>1728.92</c:v>
                </c:pt>
                <c:pt idx="13">
                  <c:v>1220.51</c:v>
                </c:pt>
                <c:pt idx="14">
                  <c:v>1662.29</c:v>
                </c:pt>
                <c:pt idx="15">
                  <c:v>1561.08</c:v>
                </c:pt>
                <c:pt idx="16">
                  <c:v>1604.6599999999999</c:v>
                </c:pt>
                <c:pt idx="17">
                  <c:v>1226.6600000000001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59-4A96-A30A-2E578D41F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47647536"/>
        <c:axId val="1647655696"/>
      </c:barChart>
      <c:catAx>
        <c:axId val="164764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655696"/>
        <c:crosses val="autoZero"/>
        <c:auto val="1"/>
        <c:lblAlgn val="ctr"/>
        <c:lblOffset val="100"/>
        <c:noMultiLvlLbl val="0"/>
      </c:catAx>
      <c:valAx>
        <c:axId val="164765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647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[Finance.xlsx]Data!PivotTable1</c:name>
    <c:fmtId val="2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dLbl>
          <c:idx val="0"/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dLbl>
          <c:idx val="0"/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dLbl>
          <c:idx val="0"/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dLbl>
          <c:idx val="0"/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dLbl>
          <c:idx val="0"/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dLbl>
          <c:idx val="0"/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dLbl>
          <c:idx val="0"/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dLbl>
          <c:idx val="0"/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dLbl>
          <c:idx val="0"/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dLbl>
          <c:idx val="0"/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dLbl>
          <c:idx val="0"/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dLbl>
          <c:idx val="0"/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dLbl>
          <c:idx val="0"/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dLbl>
          <c:idx val="0"/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dLbl>
          <c:idx val="0"/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dLbl>
          <c:idx val="0"/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dLbl>
          <c:idx val="0"/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</c:pivotFmt>
      <c:pivotFmt>
        <c:idx val="115"/>
      </c:pivotFmt>
      <c:pivotFmt>
        <c:idx val="116"/>
      </c:pivotFmt>
      <c:pivotFmt>
        <c:idx val="117"/>
      </c:pivotFmt>
      <c:pivotFmt>
        <c:idx val="118"/>
      </c:pivotFmt>
      <c:pivotFmt>
        <c:idx val="11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</c:pivotFmt>
      <c:pivotFmt>
        <c:idx val="121"/>
      </c:pivotFmt>
      <c:pivotFmt>
        <c:idx val="122"/>
      </c:pivotFmt>
      <c:pivotFmt>
        <c:idx val="123"/>
      </c:pivotFmt>
      <c:pivotFmt>
        <c:idx val="124"/>
      </c:pivotFmt>
      <c:pivotFmt>
        <c:idx val="12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2.6728435308978657E-2"/>
              <c:y val="-4.211119677036963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2.1382748247182934E-2"/>
              <c:y val="-6.737791483259149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</c:pivotFmt>
      <c:pivotFmt>
        <c:idx val="219"/>
      </c:pivotFmt>
      <c:pivotFmt>
        <c:idx val="2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2.6728435308978633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dLbl>
          <c:idx val="0"/>
          <c:layout>
            <c:manualLayout>
              <c:x val="8.2169349715053126E-8"/>
              <c:y val="-5.574617829728008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4846243069426185E-2"/>
                  <c:h val="6.8546527293342402E-2"/>
                </c:manualLayout>
              </c15:layout>
            </c:ext>
          </c:extLst>
        </c:dLbl>
      </c:pivotFmt>
      <c:pivotFmt>
        <c:idx val="279"/>
        <c:dLbl>
          <c:idx val="0"/>
          <c:layout>
            <c:manualLayout>
              <c:x val="-8.348405931049482E-3"/>
              <c:y val="-2.7479614985794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4846243069426185E-2"/>
                  <c:h val="6.3351248067189406E-2"/>
                </c:manualLayout>
              </c15:layout>
            </c:ext>
          </c:extLst>
        </c:dLbl>
      </c:pivotFmt>
      <c:pivotFmt>
        <c:idx val="280"/>
        <c:dLbl>
          <c:idx val="0"/>
          <c:layout>
            <c:manualLayout>
              <c:x val="2.087101482762426E-3"/>
              <c:y val="-2.5365798448425372E-2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Data!$M$5:$M$6</c:f>
              <c:strCache>
                <c:ptCount val="1"/>
                <c:pt idx="0">
                  <c:v>Living Expense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D7E6-4A84-A6A2-BB6EA082A9A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Data!$L$7:$L$21</c:f>
              <c:multiLvlStrCache>
                <c:ptCount val="12"/>
                <c:lvl>
                  <c:pt idx="0">
                    <c:v>Jun</c:v>
                  </c:pt>
                  <c:pt idx="1">
                    <c:v>Jul</c:v>
                  </c:pt>
                  <c:pt idx="2">
                    <c:v>Aug</c:v>
                  </c:pt>
                  <c:pt idx="3">
                    <c:v>Sep</c:v>
                  </c:pt>
                  <c:pt idx="4">
                    <c:v>Oct</c:v>
                  </c:pt>
                  <c:pt idx="5">
                    <c:v>Nov</c:v>
                  </c:pt>
                  <c:pt idx="6">
                    <c:v>Dec</c:v>
                  </c:pt>
                  <c:pt idx="7">
                    <c:v>Jan</c:v>
                  </c:pt>
                  <c:pt idx="8">
                    <c:v>Feb</c:v>
                  </c:pt>
                  <c:pt idx="9">
                    <c:v>Mar</c:v>
                  </c:pt>
                  <c:pt idx="10">
                    <c:v>Apr</c:v>
                  </c:pt>
                  <c:pt idx="11">
                    <c:v>May</c:v>
                  </c:pt>
                </c:lvl>
                <c:lvl>
                  <c:pt idx="0">
                    <c:v>2024</c:v>
                  </c:pt>
                  <c:pt idx="7">
                    <c:v>2025</c:v>
                  </c:pt>
                </c:lvl>
              </c:multiLvlStrCache>
            </c:multiLvlStrRef>
          </c:cat>
          <c:val>
            <c:numRef>
              <c:f>Data!$M$7:$M$21</c:f>
              <c:numCache>
                <c:formatCode>[$£-809]#,##0.00;\-[$£-809]#,##0.00</c:formatCode>
                <c:ptCount val="12"/>
                <c:pt idx="0">
                  <c:v>608</c:v>
                </c:pt>
                <c:pt idx="1">
                  <c:v>318</c:v>
                </c:pt>
                <c:pt idx="2">
                  <c:v>350</c:v>
                </c:pt>
                <c:pt idx="3">
                  <c:v>324</c:v>
                </c:pt>
                <c:pt idx="4">
                  <c:v>362</c:v>
                </c:pt>
                <c:pt idx="5">
                  <c:v>342.85</c:v>
                </c:pt>
                <c:pt idx="6">
                  <c:v>339</c:v>
                </c:pt>
                <c:pt idx="7">
                  <c:v>285.67</c:v>
                </c:pt>
                <c:pt idx="8">
                  <c:v>302</c:v>
                </c:pt>
                <c:pt idx="9">
                  <c:v>393</c:v>
                </c:pt>
                <c:pt idx="10">
                  <c:v>383</c:v>
                </c:pt>
                <c:pt idx="11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D-19BA-4EA1-9C4A-CC27DF11A4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15865743"/>
        <c:axId val="1815859983"/>
      </c:barChart>
      <c:catAx>
        <c:axId val="18158657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859983"/>
        <c:crosses val="autoZero"/>
        <c:auto val="1"/>
        <c:lblAlgn val="ctr"/>
        <c:lblOffset val="100"/>
        <c:noMultiLvlLbl val="0"/>
      </c:catAx>
      <c:valAx>
        <c:axId val="181585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£-809]#,##0.00;\-[$£-809]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865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[Finance.xlsx]Data!PivotTable2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/>
          </a:solidFill>
          <a:ln w="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numFmt formatCode="[$£-809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</c:pivotFmt>
      <c:pivotFmt>
        <c:idx val="1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6"/>
          </a:solidFill>
          <a:ln w="0">
            <a:solidFill>
              <a:schemeClr val="accent1"/>
            </a:solidFill>
          </a:ln>
          <a:effectLst/>
        </c:spPr>
        <c:dLbl>
          <c:idx val="0"/>
          <c:layout>
            <c:manualLayout>
              <c:x val="1.6991503746409144E-2"/>
              <c:y val="-3.5143322030896644E-2"/>
            </c:manualLayout>
          </c:layout>
          <c:numFmt formatCode="[$£-809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6"/>
          </a:solidFill>
          <a:ln w="0">
            <a:solidFill>
              <a:schemeClr val="accent1"/>
            </a:solidFill>
          </a:ln>
          <a:effectLst/>
        </c:spPr>
        <c:dLbl>
          <c:idx val="0"/>
          <c:layout>
            <c:manualLayout>
              <c:x val="4.2478759366022913E-3"/>
              <c:y val="-2.7333694912919582E-2"/>
            </c:manualLayout>
          </c:layout>
          <c:numFmt formatCode="[$£-809]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Data!$G$106:$G$107</c:f>
              <c:strCache>
                <c:ptCount val="1"/>
                <c:pt idx="0">
                  <c:v>Suji Wages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Data!$F$108:$F$127</c:f>
              <c:multiLvlStrCache>
                <c:ptCount val="17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Data!$G$108:$G$127</c:f>
              <c:numCache>
                <c:formatCode>General</c:formatCode>
                <c:ptCount val="17"/>
                <c:pt idx="0">
                  <c:v>680</c:v>
                </c:pt>
                <c:pt idx="1">
                  <c:v>690.52</c:v>
                </c:pt>
                <c:pt idx="2">
                  <c:v>540</c:v>
                </c:pt>
                <c:pt idx="3">
                  <c:v>650</c:v>
                </c:pt>
                <c:pt idx="4">
                  <c:v>644</c:v>
                </c:pt>
                <c:pt idx="5">
                  <c:v>385</c:v>
                </c:pt>
                <c:pt idx="6">
                  <c:v>525</c:v>
                </c:pt>
                <c:pt idx="7">
                  <c:v>896</c:v>
                </c:pt>
                <c:pt idx="8">
                  <c:v>340</c:v>
                </c:pt>
                <c:pt idx="9">
                  <c:v>416.5</c:v>
                </c:pt>
                <c:pt idx="10">
                  <c:v>252</c:v>
                </c:pt>
                <c:pt idx="11">
                  <c:v>161</c:v>
                </c:pt>
                <c:pt idx="12">
                  <c:v>344</c:v>
                </c:pt>
                <c:pt idx="13">
                  <c:v>248</c:v>
                </c:pt>
                <c:pt idx="14">
                  <c:v>688</c:v>
                </c:pt>
                <c:pt idx="15">
                  <c:v>568</c:v>
                </c:pt>
                <c:pt idx="16">
                  <c:v>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9B-4392-992A-2CE4EB62FE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96109472"/>
        <c:axId val="896098432"/>
      </c:barChart>
      <c:catAx>
        <c:axId val="89610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098432"/>
        <c:crosses val="autoZero"/>
        <c:auto val="1"/>
        <c:lblAlgn val="ctr"/>
        <c:lblOffset val="100"/>
        <c:noMultiLvlLbl val="0"/>
      </c:catAx>
      <c:valAx>
        <c:axId val="89609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10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23307</xdr:colOff>
      <xdr:row>25</xdr:row>
      <xdr:rowOff>47065</xdr:rowOff>
    </xdr:from>
    <xdr:to>
      <xdr:col>15</xdr:col>
      <xdr:colOff>8964</xdr:colOff>
      <xdr:row>28</xdr:row>
      <xdr:rowOff>108025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FE9260D-E4F0-5E02-849A-F7B54FD8E227}"/>
            </a:ext>
          </a:extLst>
        </xdr:cNvPr>
        <xdr:cNvSpPr txBox="1"/>
      </xdr:nvSpPr>
      <xdr:spPr>
        <a:xfrm>
          <a:off x="8772860" y="4628030"/>
          <a:ext cx="5552739" cy="5988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kern="1200"/>
            <a:t>NOTE: Account</a:t>
          </a:r>
          <a:r>
            <a:rPr lang="en-GB" sz="1100" kern="1200" baseline="0"/>
            <a:t> is done till date 07/07/2025.  and match with bank statement</a:t>
          </a:r>
          <a:endParaRPr lang="en-GB" sz="1100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76200</xdr:colOff>
      <xdr:row>30</xdr:row>
      <xdr:rowOff>169333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5847076E-B878-72DC-657B-06948E9A4D83}"/>
            </a:ext>
          </a:extLst>
        </xdr:cNvPr>
        <xdr:cNvSpPr/>
      </xdr:nvSpPr>
      <xdr:spPr>
        <a:xfrm>
          <a:off x="0" y="0"/>
          <a:ext cx="685800" cy="5757333"/>
        </a:xfrm>
        <a:prstGeom prst="roundRect">
          <a:avLst>
            <a:gd name="adj" fmla="val 0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 kern="1200"/>
        </a:p>
      </xdr:txBody>
    </xdr:sp>
    <xdr:clientData/>
  </xdr:twoCellAnchor>
  <xdr:twoCellAnchor>
    <xdr:from>
      <xdr:col>1</xdr:col>
      <xdr:colOff>87629</xdr:colOff>
      <xdr:row>0</xdr:row>
      <xdr:rowOff>0</xdr:rowOff>
    </xdr:from>
    <xdr:to>
      <xdr:col>26</xdr:col>
      <xdr:colOff>482602</xdr:colOff>
      <xdr:row>3</xdr:row>
      <xdr:rowOff>137160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C94A2B26-1B0A-44E6-9EB2-814FFCFBCA6A}"/>
            </a:ext>
          </a:extLst>
        </xdr:cNvPr>
        <xdr:cNvSpPr/>
      </xdr:nvSpPr>
      <xdr:spPr>
        <a:xfrm rot="5400000">
          <a:off x="8166736" y="-7469507"/>
          <a:ext cx="695960" cy="15634973"/>
        </a:xfrm>
        <a:prstGeom prst="roundRect">
          <a:avLst>
            <a:gd name="adj" fmla="val 0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 kern="1200"/>
        </a:p>
      </xdr:txBody>
    </xdr:sp>
    <xdr:clientData/>
  </xdr:twoCellAnchor>
  <xdr:twoCellAnchor>
    <xdr:from>
      <xdr:col>1</xdr:col>
      <xdr:colOff>175260</xdr:colOff>
      <xdr:row>5</xdr:row>
      <xdr:rowOff>15240</xdr:rowOff>
    </xdr:from>
    <xdr:to>
      <xdr:col>4</xdr:col>
      <xdr:colOff>144780</xdr:colOff>
      <xdr:row>10</xdr:row>
      <xdr:rowOff>15240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FF512B35-C27E-7747-A26B-016E722CB43A}"/>
            </a:ext>
          </a:extLst>
        </xdr:cNvPr>
        <xdr:cNvSpPr/>
      </xdr:nvSpPr>
      <xdr:spPr>
        <a:xfrm>
          <a:off x="784860" y="929640"/>
          <a:ext cx="1798320" cy="9144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rPr>
            <a:t>Llyods</a:t>
          </a:r>
        </a:p>
      </xdr:txBody>
    </xdr:sp>
    <xdr:clientData/>
  </xdr:twoCellAnchor>
  <xdr:twoCellAnchor>
    <xdr:from>
      <xdr:col>4</xdr:col>
      <xdr:colOff>365760</xdr:colOff>
      <xdr:row>5</xdr:row>
      <xdr:rowOff>30480</xdr:rowOff>
    </xdr:from>
    <xdr:to>
      <xdr:col>7</xdr:col>
      <xdr:colOff>335280</xdr:colOff>
      <xdr:row>10</xdr:row>
      <xdr:rowOff>30480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98A7970C-23B9-41CB-93B8-958A2B4E53ED}"/>
            </a:ext>
          </a:extLst>
        </xdr:cNvPr>
        <xdr:cNvSpPr/>
      </xdr:nvSpPr>
      <xdr:spPr>
        <a:xfrm>
          <a:off x="2804160" y="944880"/>
          <a:ext cx="1798320" cy="9144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rPr>
            <a:t>Father's</a:t>
          </a:r>
          <a:r>
            <a:rPr lang="en-GB" sz="1400" b="1" kern="1200" baseline="0">
              <a:solidFill>
                <a:sysClr val="windowText" lastClr="000000"/>
              </a:solidFill>
            </a:rPr>
            <a:t> </a:t>
          </a:r>
          <a:r>
            <a:rPr lang="en-GB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rPr>
            <a:t>Accounth</a:t>
          </a:r>
        </a:p>
      </xdr:txBody>
    </xdr:sp>
    <xdr:clientData/>
  </xdr:twoCellAnchor>
  <xdr:twoCellAnchor>
    <xdr:from>
      <xdr:col>7</xdr:col>
      <xdr:colOff>441960</xdr:colOff>
      <xdr:row>5</xdr:row>
      <xdr:rowOff>38100</xdr:rowOff>
    </xdr:from>
    <xdr:to>
      <xdr:col>10</xdr:col>
      <xdr:colOff>411480</xdr:colOff>
      <xdr:row>10</xdr:row>
      <xdr:rowOff>38100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FB0CEA76-E70F-4843-BF65-F84D683E22E9}"/>
            </a:ext>
          </a:extLst>
        </xdr:cNvPr>
        <xdr:cNvSpPr/>
      </xdr:nvSpPr>
      <xdr:spPr>
        <a:xfrm>
          <a:off x="4709160" y="952500"/>
          <a:ext cx="1798320" cy="9144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rPr>
            <a:t>Sahil</a:t>
          </a:r>
          <a:r>
            <a:rPr lang="en-GB" sz="1400" b="1" kern="1200">
              <a:solidFill>
                <a:sysClr val="windowText" lastClr="000000"/>
              </a:solidFill>
            </a:rPr>
            <a:t> </a:t>
          </a:r>
          <a:r>
            <a:rPr lang="en-GB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rPr>
            <a:t>India</a:t>
          </a:r>
        </a:p>
      </xdr:txBody>
    </xdr:sp>
    <xdr:clientData/>
  </xdr:twoCellAnchor>
  <xdr:twoCellAnchor>
    <xdr:from>
      <xdr:col>10</xdr:col>
      <xdr:colOff>548640</xdr:colOff>
      <xdr:row>5</xdr:row>
      <xdr:rowOff>53340</xdr:rowOff>
    </xdr:from>
    <xdr:to>
      <xdr:col>13</xdr:col>
      <xdr:colOff>518160</xdr:colOff>
      <xdr:row>10</xdr:row>
      <xdr:rowOff>53340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54C414D1-A7F4-430B-9117-624511199081}"/>
            </a:ext>
          </a:extLst>
        </xdr:cNvPr>
        <xdr:cNvSpPr/>
      </xdr:nvSpPr>
      <xdr:spPr>
        <a:xfrm>
          <a:off x="6644640" y="967740"/>
          <a:ext cx="1798320" cy="9144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rPr>
            <a:t>Dream</a:t>
          </a:r>
        </a:p>
      </xdr:txBody>
    </xdr:sp>
    <xdr:clientData/>
  </xdr:twoCellAnchor>
  <xdr:twoCellAnchor>
    <xdr:from>
      <xdr:col>14</xdr:col>
      <xdr:colOff>38100</xdr:colOff>
      <xdr:row>5</xdr:row>
      <xdr:rowOff>60960</xdr:rowOff>
    </xdr:from>
    <xdr:to>
      <xdr:col>17</xdr:col>
      <xdr:colOff>7620</xdr:colOff>
      <xdr:row>10</xdr:row>
      <xdr:rowOff>60960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CA774808-39BB-4643-B18C-C4D73D5603ED}"/>
            </a:ext>
          </a:extLst>
        </xdr:cNvPr>
        <xdr:cNvSpPr/>
      </xdr:nvSpPr>
      <xdr:spPr>
        <a:xfrm>
          <a:off x="8572500" y="975360"/>
          <a:ext cx="1798320" cy="9144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rPr>
            <a:t>Cash</a:t>
          </a:r>
        </a:p>
      </xdr:txBody>
    </xdr:sp>
    <xdr:clientData/>
  </xdr:twoCellAnchor>
  <xdr:twoCellAnchor>
    <xdr:from>
      <xdr:col>17</xdr:col>
      <xdr:colOff>129540</xdr:colOff>
      <xdr:row>5</xdr:row>
      <xdr:rowOff>83820</xdr:rowOff>
    </xdr:from>
    <xdr:to>
      <xdr:col>20</xdr:col>
      <xdr:colOff>99060</xdr:colOff>
      <xdr:row>10</xdr:row>
      <xdr:rowOff>83820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2E075D78-8F7C-49FC-A643-F864B26835C5}"/>
            </a:ext>
          </a:extLst>
        </xdr:cNvPr>
        <xdr:cNvSpPr/>
      </xdr:nvSpPr>
      <xdr:spPr>
        <a:xfrm>
          <a:off x="10492740" y="998220"/>
          <a:ext cx="1798320" cy="9144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rPr>
            <a:t>Total</a:t>
          </a:r>
        </a:p>
      </xdr:txBody>
    </xdr:sp>
    <xdr:clientData/>
  </xdr:twoCellAnchor>
  <xdr:twoCellAnchor>
    <xdr:from>
      <xdr:col>1</xdr:col>
      <xdr:colOff>160020</xdr:colOff>
      <xdr:row>7</xdr:row>
      <xdr:rowOff>53340</xdr:rowOff>
    </xdr:from>
    <xdr:to>
      <xdr:col>3</xdr:col>
      <xdr:colOff>297180</xdr:colOff>
      <xdr:row>9</xdr:row>
      <xdr:rowOff>38100</xdr:rowOff>
    </xdr:to>
    <xdr:sp macro="" textlink="Sheet1!N10">
      <xdr:nvSpPr>
        <xdr:cNvPr id="12" name="TextBox 11">
          <a:extLst>
            <a:ext uri="{FF2B5EF4-FFF2-40B4-BE49-F238E27FC236}">
              <a16:creationId xmlns:a16="http://schemas.microsoft.com/office/drawing/2014/main" id="{B7391A8F-85BE-A4F3-824F-4A8F6862BED8}"/>
            </a:ext>
          </a:extLst>
        </xdr:cNvPr>
        <xdr:cNvSpPr txBox="1"/>
      </xdr:nvSpPr>
      <xdr:spPr>
        <a:xfrm>
          <a:off x="769620" y="1333500"/>
          <a:ext cx="1356360" cy="350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8BE310AC-1782-4920-A7FA-2051B756D8C3}" type="TxLink">
            <a:rPr lang="en-US" sz="2000" b="0" i="0" u="none" strike="noStrike" kern="1200" cap="none" spc="0">
              <a:ln>
                <a:noFill/>
              </a:ln>
              <a:solidFill>
                <a:schemeClr val="accent6"/>
              </a:solidFill>
              <a:effectLst/>
              <a:latin typeface="Calibri"/>
              <a:ea typeface="Calibri"/>
              <a:cs typeface="Calibri"/>
            </a:rPr>
            <a:pPr marL="0" indent="0"/>
            <a:t> £1,106.21 </a:t>
          </a:fld>
          <a:endParaRPr lang="en-GB" sz="2000" b="0" i="0" u="none" strike="noStrike" kern="1200" cap="none" spc="0">
            <a:ln>
              <a:noFill/>
            </a:ln>
            <a:solidFill>
              <a:schemeClr val="accent6"/>
            </a:solidFill>
            <a:effectLst/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10</xdr:col>
      <xdr:colOff>518160</xdr:colOff>
      <xdr:row>6</xdr:row>
      <xdr:rowOff>152400</xdr:rowOff>
    </xdr:from>
    <xdr:to>
      <xdr:col>13</xdr:col>
      <xdr:colOff>45720</xdr:colOff>
      <xdr:row>8</xdr:row>
      <xdr:rowOff>137160</xdr:rowOff>
    </xdr:to>
    <xdr:sp macro="" textlink="Sheet1!N11">
      <xdr:nvSpPr>
        <xdr:cNvPr id="13" name="TextBox 12">
          <a:extLst>
            <a:ext uri="{FF2B5EF4-FFF2-40B4-BE49-F238E27FC236}">
              <a16:creationId xmlns:a16="http://schemas.microsoft.com/office/drawing/2014/main" id="{F0372E23-081F-4B00-BD88-615D804E7131}"/>
            </a:ext>
          </a:extLst>
        </xdr:cNvPr>
        <xdr:cNvSpPr txBox="1"/>
      </xdr:nvSpPr>
      <xdr:spPr>
        <a:xfrm>
          <a:off x="6614160" y="1249680"/>
          <a:ext cx="1356360" cy="350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FE47C6AE-CE63-4B87-BD07-C9C612C507E9}" type="TxLink">
            <a:rPr lang="en-US" sz="2000" b="0" i="0" u="none" strike="noStrike" kern="1200" cap="none" spc="0">
              <a:ln>
                <a:noFill/>
              </a:ln>
              <a:solidFill>
                <a:schemeClr val="accent6"/>
              </a:solidFill>
              <a:effectLst/>
              <a:latin typeface="Calibri"/>
              <a:ea typeface="Calibri"/>
              <a:cs typeface="Calibri"/>
            </a:rPr>
            <a:pPr marL="0" indent="0"/>
            <a:t> £3,004.21 </a:t>
          </a:fld>
          <a:endParaRPr lang="en-GB" sz="2000" b="0" i="0" u="none" strike="noStrike" kern="1200" cap="none" spc="0">
            <a:ln>
              <a:noFill/>
            </a:ln>
            <a:solidFill>
              <a:schemeClr val="accent6"/>
            </a:solidFill>
            <a:effectLst/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7</xdr:col>
      <xdr:colOff>388620</xdr:colOff>
      <xdr:row>6</xdr:row>
      <xdr:rowOff>175260</xdr:rowOff>
    </xdr:from>
    <xdr:to>
      <xdr:col>9</xdr:col>
      <xdr:colOff>525780</xdr:colOff>
      <xdr:row>8</xdr:row>
      <xdr:rowOff>160020</xdr:rowOff>
    </xdr:to>
    <xdr:sp macro="" textlink="Sheet1!N12">
      <xdr:nvSpPr>
        <xdr:cNvPr id="14" name="TextBox 13">
          <a:extLst>
            <a:ext uri="{FF2B5EF4-FFF2-40B4-BE49-F238E27FC236}">
              <a16:creationId xmlns:a16="http://schemas.microsoft.com/office/drawing/2014/main" id="{4762C4D5-53EA-428B-AB6F-C66EAD4BB0A5}"/>
            </a:ext>
          </a:extLst>
        </xdr:cNvPr>
        <xdr:cNvSpPr txBox="1"/>
      </xdr:nvSpPr>
      <xdr:spPr>
        <a:xfrm>
          <a:off x="4655820" y="1272540"/>
          <a:ext cx="1356360" cy="350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E172EA86-FF33-4BDF-9F98-EE0A73E38066}" type="TxLink">
            <a:rPr lang="en-US" sz="2000" b="0" i="0" u="none" strike="noStrike" kern="1200" cap="none" spc="0">
              <a:ln>
                <a:noFill/>
              </a:ln>
              <a:solidFill>
                <a:schemeClr val="accent6"/>
              </a:solidFill>
              <a:effectLst/>
              <a:latin typeface="Calibri"/>
              <a:ea typeface="Calibri"/>
              <a:cs typeface="Calibri"/>
            </a:rPr>
            <a:pPr marL="0" indent="0"/>
            <a:t> £105.13 </a:t>
          </a:fld>
          <a:endParaRPr lang="en-GB" sz="2000" b="0" i="0" u="none" strike="noStrike" kern="1200" cap="none" spc="0">
            <a:ln>
              <a:noFill/>
            </a:ln>
            <a:solidFill>
              <a:schemeClr val="accent6"/>
            </a:solidFill>
            <a:effectLst/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4</xdr:col>
      <xdr:colOff>312420</xdr:colOff>
      <xdr:row>6</xdr:row>
      <xdr:rowOff>160020</xdr:rowOff>
    </xdr:from>
    <xdr:to>
      <xdr:col>6</xdr:col>
      <xdr:colOff>449580</xdr:colOff>
      <xdr:row>8</xdr:row>
      <xdr:rowOff>144780</xdr:rowOff>
    </xdr:to>
    <xdr:sp macro="" textlink="Sheet1!N9">
      <xdr:nvSpPr>
        <xdr:cNvPr id="15" name="TextBox 14">
          <a:extLst>
            <a:ext uri="{FF2B5EF4-FFF2-40B4-BE49-F238E27FC236}">
              <a16:creationId xmlns:a16="http://schemas.microsoft.com/office/drawing/2014/main" id="{F0BBB15D-4498-4237-ADBB-BFC0BC31B98D}"/>
            </a:ext>
          </a:extLst>
        </xdr:cNvPr>
        <xdr:cNvSpPr txBox="1"/>
      </xdr:nvSpPr>
      <xdr:spPr>
        <a:xfrm>
          <a:off x="2750820" y="1257300"/>
          <a:ext cx="1356360" cy="350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C62C62C3-D9DA-40B6-89B3-67457EF9C7EF}" type="TxLink">
            <a:rPr lang="en-US" sz="2000" b="0" i="0" u="none" strike="noStrike" kern="1200" cap="none" spc="0">
              <a:ln>
                <a:noFill/>
              </a:ln>
              <a:solidFill>
                <a:schemeClr val="accent6"/>
              </a:solidFill>
              <a:effectLst/>
              <a:latin typeface="Calibri"/>
              <a:ea typeface="Calibri"/>
              <a:cs typeface="Calibri"/>
            </a:rPr>
            <a:pPr marL="0" indent="0"/>
            <a:t> £335.40 </a:t>
          </a:fld>
          <a:endParaRPr lang="en-GB" sz="2000" b="0" i="0" u="none" strike="noStrike" kern="1200" cap="none" spc="0">
            <a:ln>
              <a:noFill/>
            </a:ln>
            <a:solidFill>
              <a:schemeClr val="accent6"/>
            </a:solidFill>
            <a:effectLst/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4</xdr:col>
      <xdr:colOff>198120</xdr:colOff>
      <xdr:row>6</xdr:row>
      <xdr:rowOff>175260</xdr:rowOff>
    </xdr:from>
    <xdr:to>
      <xdr:col>6</xdr:col>
      <xdr:colOff>335280</xdr:colOff>
      <xdr:row>8</xdr:row>
      <xdr:rowOff>160020</xdr:rowOff>
    </xdr:to>
    <xdr:sp macro="" textlink="Sheet1!#REF!">
      <xdr:nvSpPr>
        <xdr:cNvPr id="16" name="TextBox 15">
          <a:extLst>
            <a:ext uri="{FF2B5EF4-FFF2-40B4-BE49-F238E27FC236}">
              <a16:creationId xmlns:a16="http://schemas.microsoft.com/office/drawing/2014/main" id="{05F40902-2FF8-4C45-B6E7-5318ED77DF98}"/>
            </a:ext>
          </a:extLst>
        </xdr:cNvPr>
        <xdr:cNvSpPr txBox="1"/>
      </xdr:nvSpPr>
      <xdr:spPr>
        <a:xfrm>
          <a:off x="2636520" y="1272540"/>
          <a:ext cx="1356360" cy="350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6D68F103-79C9-4337-8290-173835B6A6C4}" type="TxLink">
            <a:rPr lang="en-US" sz="2000" b="0" i="0" u="none" strike="noStrike" kern="1200" cap="none" spc="0">
              <a:ln>
                <a:noFill/>
              </a:ln>
              <a:solidFill>
                <a:schemeClr val="accent6"/>
              </a:solidFill>
              <a:effectLst/>
              <a:latin typeface="Calibri"/>
              <a:ea typeface="Calibri"/>
              <a:cs typeface="Calibri"/>
            </a:rPr>
            <a:pPr marL="0" indent="0"/>
            <a:t> </a:t>
          </a:fld>
          <a:endParaRPr lang="en-GB" sz="2000" b="0" i="0" u="none" strike="noStrike" kern="1200" cap="none" spc="0">
            <a:ln>
              <a:noFill/>
            </a:ln>
            <a:solidFill>
              <a:schemeClr val="accent6"/>
            </a:solidFill>
            <a:effectLst/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17</xdr:col>
      <xdr:colOff>152400</xdr:colOff>
      <xdr:row>7</xdr:row>
      <xdr:rowOff>0</xdr:rowOff>
    </xdr:from>
    <xdr:to>
      <xdr:col>19</xdr:col>
      <xdr:colOff>289560</xdr:colOff>
      <xdr:row>9</xdr:row>
      <xdr:rowOff>121920</xdr:rowOff>
    </xdr:to>
    <xdr:sp macro="" textlink="Data!C8">
      <xdr:nvSpPr>
        <xdr:cNvPr id="17" name="TextBox 16">
          <a:extLst>
            <a:ext uri="{FF2B5EF4-FFF2-40B4-BE49-F238E27FC236}">
              <a16:creationId xmlns:a16="http://schemas.microsoft.com/office/drawing/2014/main" id="{4C136ED7-B196-4400-A0AD-F79AF846FAEF}"/>
            </a:ext>
          </a:extLst>
        </xdr:cNvPr>
        <xdr:cNvSpPr txBox="1"/>
      </xdr:nvSpPr>
      <xdr:spPr>
        <a:xfrm>
          <a:off x="10515600" y="1280160"/>
          <a:ext cx="1356360" cy="4876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6850B3D4-6180-482F-A356-492B356A0BE2}" type="TxLink">
            <a:rPr lang="en-US" sz="2000" b="0" i="0" u="none" strike="noStrike" kern="1200" cap="none" spc="0">
              <a:ln>
                <a:noFill/>
              </a:ln>
              <a:solidFill>
                <a:schemeClr val="accent6"/>
              </a:solidFill>
              <a:effectLst/>
              <a:latin typeface="Calibri"/>
              <a:ea typeface="Calibri"/>
              <a:cs typeface="Calibri"/>
            </a:rPr>
            <a:pPr marL="0" indent="0"/>
            <a:t> £4,550.95 </a:t>
          </a:fld>
          <a:endParaRPr lang="en-GB" sz="2000" b="0" i="0" u="none" strike="noStrike" kern="1200" cap="none" spc="0">
            <a:ln>
              <a:noFill/>
            </a:ln>
            <a:solidFill>
              <a:schemeClr val="accent6"/>
            </a:solidFill>
            <a:effectLst/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14</xdr:col>
      <xdr:colOff>0</xdr:colOff>
      <xdr:row>6</xdr:row>
      <xdr:rowOff>152400</xdr:rowOff>
    </xdr:from>
    <xdr:to>
      <xdr:col>16</xdr:col>
      <xdr:colOff>137160</xdr:colOff>
      <xdr:row>8</xdr:row>
      <xdr:rowOff>137160</xdr:rowOff>
    </xdr:to>
    <xdr:sp macro="" textlink="Sheet1!O7">
      <xdr:nvSpPr>
        <xdr:cNvPr id="18" name="TextBox 17">
          <a:extLst>
            <a:ext uri="{FF2B5EF4-FFF2-40B4-BE49-F238E27FC236}">
              <a16:creationId xmlns:a16="http://schemas.microsoft.com/office/drawing/2014/main" id="{FCF99A88-8C0C-4CC7-AB44-AD6D63E58F94}"/>
            </a:ext>
          </a:extLst>
        </xdr:cNvPr>
        <xdr:cNvSpPr txBox="1"/>
      </xdr:nvSpPr>
      <xdr:spPr>
        <a:xfrm>
          <a:off x="8534400" y="1249680"/>
          <a:ext cx="1356360" cy="350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FCEEE7C3-209C-4F6A-A97E-C94AB5D79B47}" type="TxLink">
            <a:rPr lang="en-US" sz="2000" b="0" i="0" u="none" strike="noStrike" kern="1200" cap="none" spc="0">
              <a:ln>
                <a:noFill/>
              </a:ln>
              <a:solidFill>
                <a:schemeClr val="accent6"/>
              </a:solidFill>
              <a:effectLst/>
              <a:latin typeface="Calibri"/>
              <a:ea typeface="Calibri"/>
              <a:cs typeface="Calibri"/>
            </a:rPr>
            <a:pPr marL="0" indent="0"/>
            <a:t> £-   </a:t>
          </a:fld>
          <a:endParaRPr lang="en-GB" sz="2000" b="0" i="0" u="none" strike="noStrike" kern="1200" cap="none" spc="0">
            <a:ln>
              <a:noFill/>
            </a:ln>
            <a:solidFill>
              <a:schemeClr val="accent6"/>
            </a:solidFill>
            <a:effectLst/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9</xdr:col>
      <xdr:colOff>114300</xdr:colOff>
      <xdr:row>11</xdr:row>
      <xdr:rowOff>30480</xdr:rowOff>
    </xdr:from>
    <xdr:to>
      <xdr:col>16</xdr:col>
      <xdr:colOff>297180</xdr:colOff>
      <xdr:row>27</xdr:row>
      <xdr:rowOff>45720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E673D275-1AEA-4F06-A341-FFA7D646D9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236220</xdr:colOff>
      <xdr:row>11</xdr:row>
      <xdr:rowOff>22860</xdr:rowOff>
    </xdr:from>
    <xdr:to>
      <xdr:col>8</xdr:col>
      <xdr:colOff>510540</xdr:colOff>
      <xdr:row>27</xdr:row>
      <xdr:rowOff>68580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D7A55060-0776-4A31-B248-E2A9D8E900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430106</xdr:colOff>
      <xdr:row>11</xdr:row>
      <xdr:rowOff>49108</xdr:rowOff>
    </xdr:from>
    <xdr:to>
      <xdr:col>26</xdr:col>
      <xdr:colOff>419100</xdr:colOff>
      <xdr:row>27</xdr:row>
      <xdr:rowOff>84666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F9E29B-1BF1-4B6F-8EF5-A275E578F3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609599</xdr:colOff>
      <xdr:row>29</xdr:row>
      <xdr:rowOff>0</xdr:rowOff>
    </xdr:from>
    <xdr:to>
      <xdr:col>26</xdr:col>
      <xdr:colOff>493058</xdr:colOff>
      <xdr:row>46</xdr:row>
      <xdr:rowOff>143436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E9A75A4-2702-4CCB-9EA5-35F4E0F0EF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hil Halani" refreshedDate="45816.59477546296" createdVersion="8" refreshedVersion="8" minRefreshableVersion="3" recordCount="121" xr:uid="{0F09B413-DB8D-4A88-9747-494216310AF5}">
  <cacheSource type="worksheet">
    <worksheetSource name="Table10"/>
  </cacheSource>
  <cacheFields count="11">
    <cacheField name="Date" numFmtId="14">
      <sharedItems containsSemiMixedTypes="0" containsNonDate="0" containsDate="1" containsString="0" minDate="2023-12-23T00:00:00" maxDate="2026-01-01T00:00:00" count="89">
        <d v="2023-12-23T00:00:00"/>
        <d v="2023-12-26T00:00:00"/>
        <d v="2024-01-21T00:00:00"/>
        <d v="2024-01-31T00:00:00"/>
        <d v="2024-02-10T00:00:00"/>
        <d v="2024-02-22T00:00:00"/>
        <d v="2024-02-18T00:00:00"/>
        <d v="2024-02-29T00:00:00"/>
        <d v="2024-03-22T00:00:00"/>
        <d v="2024-03-31T00:00:00"/>
        <d v="2024-04-10T00:00:00"/>
        <d v="2024-04-22T00:00:00"/>
        <d v="2024-04-26T00:00:00"/>
        <d v="2024-04-30T00:00:00"/>
        <d v="2024-04-28T00:00:00"/>
        <d v="2024-05-01T00:00:00"/>
        <d v="2024-05-21T00:00:00"/>
        <d v="2024-05-14T00:00:00"/>
        <d v="2024-05-29T00:00:00"/>
        <d v="2024-05-31T00:00:00"/>
        <d v="2024-06-26T00:00:00"/>
        <d v="2024-06-30T00:00:00"/>
        <d v="2024-06-01T00:00:00"/>
        <d v="2024-06-03T00:00:00"/>
        <d v="2024-06-17T00:00:00"/>
        <d v="2024-07-03T00:00:00"/>
        <d v="2024-07-29T00:00:00"/>
        <d v="2024-07-30T00:00:00"/>
        <d v="2024-07-31T00:00:00"/>
        <d v="2024-08-05T00:00:00"/>
        <d v="2024-08-22T00:00:00"/>
        <d v="2024-08-31T00:00:00"/>
        <d v="2024-08-27T00:00:00"/>
        <d v="2024-09-02T00:00:00"/>
        <d v="2024-09-11T00:00:00"/>
        <d v="2024-09-12T00:00:00"/>
        <d v="2024-09-24T00:00:00"/>
        <d v="2024-09-30T00:00:00"/>
        <d v="2024-10-01T00:00:00"/>
        <d v="2024-10-08T00:00:00"/>
        <d v="2024-10-14T00:00:00"/>
        <d v="2024-10-16T00:00:00"/>
        <d v="2024-10-31T00:00:00"/>
        <d v="2024-11-04T00:00:00"/>
        <d v="2024-11-30T00:00:00"/>
        <d v="2024-12-02T00:00:00"/>
        <d v="2024-12-03T00:00:00"/>
        <d v="2024-12-12T00:00:00"/>
        <d v="2024-12-29T00:00:00"/>
        <d v="2024-12-31T00:00:00"/>
        <d v="2025-01-02T00:00:00"/>
        <d v="2025-01-20T00:00:00"/>
        <d v="2025-01-31T00:00:00"/>
        <d v="2025-02-03T00:00:00"/>
        <d v="2025-02-24T00:00:00"/>
        <d v="2025-02-28T00:00:00"/>
        <d v="2025-03-03T00:00:00"/>
        <d v="2025-03-24T00:00:00"/>
        <d v="2025-03-27T00:00:00"/>
        <d v="2025-03-31T00:00:00"/>
        <d v="2025-04-07T00:00:00"/>
        <d v="2025-04-10T00:00:00"/>
        <d v="2025-04-22T00:00:00"/>
        <d v="2025-04-24T00:00:00"/>
        <d v="2025-04-30T00:00:00"/>
        <d v="2025-05-27T00:00:00"/>
        <d v="2025-05-30T00:00:00"/>
        <d v="2025-05-31T00:00:00"/>
        <d v="2025-06-30T00:00:00"/>
        <d v="2025-03-01T00:00:00" u="1"/>
        <d v="2024-06-08T00:00:00" u="1"/>
        <d v="2024-07-04T00:00:00" u="1"/>
        <d v="2024-08-03T00:00:00" u="1"/>
        <d v="2024-09-05T00:00:00" u="1"/>
        <d v="2024-10-03T00:00:00" u="1"/>
        <d v="2024-11-06T00:00:00" u="1"/>
        <d v="2024-12-08T00:00:00" u="1"/>
        <d v="2025-01-05T00:00:00" u="1"/>
        <d v="2025-03-02T00:00:00" u="1"/>
        <d v="2024-07-08T00:00:00" u="1"/>
        <d v="2024-08-04T00:00:00" u="1"/>
        <d v="2024-09-03T00:00:00" u="1"/>
        <d v="2024-10-05T00:00:00" u="1"/>
        <d v="2024-11-03T00:00:00" u="1"/>
        <d v="2024-12-06T00:00:00" u="1"/>
        <d v="2025-01-08T00:00:00" u="1"/>
        <d v="2025-02-05T00:00:00" u="1"/>
        <d v="2025-04-02T00:00:00" u="1"/>
        <d v="2025-12-31T00:00:00" u="1"/>
      </sharedItems>
      <fieldGroup par="10"/>
    </cacheField>
    <cacheField name="Particular" numFmtId="0">
      <sharedItems containsBlank="1" count="39">
        <s v="Total Expense To Reach U.K"/>
        <s v="Shopping"/>
        <s v="Mobile Recharge"/>
        <s v="Eat Out"/>
        <s v="Transportation"/>
        <s v="Hair Cut"/>
        <s v="Mataji First Salary"/>
        <s v="Gift For India"/>
        <s v="EMI Asssissment"/>
        <s v="Aditya Old Debt"/>
        <s v="Anil Shoes"/>
        <s v="Renish Courrier"/>
        <s v="Provision License Charge"/>
        <s v="Assessment PPT"/>
        <s v="Living Expense"/>
        <s v="College 2nd Sem Fees"/>
        <s v="Provision License Post Charge"/>
        <s v="ICB Assessment Paid To Praj"/>
        <s v="Home Furnicture"/>
        <s v="Sima Didi Gift Rakshabandhan"/>
        <s v="Sister's Gift Rakshabandhan"/>
        <s v="HDFC LOAN Interest "/>
        <s v="Remetly Charge"/>
        <s v="Leichester Trip"/>
        <s v="DL Theory Test"/>
        <s v="Charity"/>
        <s v="HDFC Debit Card Charge"/>
        <s v="Assessment MDM"/>
        <s v="London Bus Expense"/>
        <s v="Travel"/>
        <s v="Fitness"/>
        <s v="HDFC LOAN  Interest"/>
        <s v="Dissertation"/>
        <s v="India home expense"/>
        <m u="1"/>
        <s v="Clothes Track" u="1"/>
        <s v="Clothes Pant KFC" u="1"/>
        <s v="Paid Salim for Jan-Mar Home Expense" u="1"/>
        <s v="Adidas Jacket" u="1"/>
      </sharedItems>
    </cacheField>
    <cacheField name="Amount " numFmtId="168">
      <sharedItems containsSemiMixedTypes="0" containsString="0" containsNumber="1" minValue="1.99" maxValue="10689.58"/>
    </cacheField>
    <cacheField name="Date " numFmtId="0">
      <sharedItems containsNonDate="0" containsDate="1" containsString="0" containsBlank="1" minDate="2023-01-01T00:00:00" maxDate="2025-12-24T00:00:00" count="67">
        <d v="2023-01-01T00:00:00"/>
        <d v="2023-11-01T00:00:00"/>
        <d v="2023-12-28T00:00:00"/>
        <d v="2023-12-29T00:00:00"/>
        <d v="2024-01-31T00:00:00"/>
        <d v="2024-02-28T00:00:00"/>
        <d v="2024-03-31T00:00:00"/>
        <d v="2024-04-05T00:00:00"/>
        <d v="2024-04-29T00:00:00"/>
        <d v="2024-04-30T00:00:00"/>
        <d v="2024-05-13T00:00:00"/>
        <d v="2024-05-28T00:00:00"/>
        <d v="2024-05-31T00:00:00"/>
        <d v="2024-06-10T00:00:00"/>
        <d v="2024-06-24T00:00:00"/>
        <d v="2024-06-30T00:00:00"/>
        <d v="2024-07-01T00:00:00"/>
        <d v="2024-07-08T00:00:00"/>
        <d v="2024-07-22T00:00:00"/>
        <d v="2024-07-31T00:00:00"/>
        <d v="2024-08-01T00:00:00"/>
        <d v="2024-08-05T00:00:00"/>
        <d v="2024-08-19T00:00:00"/>
        <d v="2024-08-31T00:00:00"/>
        <d v="2024-09-01T00:00:00"/>
        <d v="2024-09-02T00:00:00"/>
        <d v="2024-09-16T00:00:00"/>
        <d v="2024-09-30T00:00:00"/>
        <d v="2024-10-01T00:00:00"/>
        <d v="2024-10-14T00:00:00"/>
        <d v="2024-10-28T00:00:00"/>
        <d v="2024-10-31T00:00:00"/>
        <d v="2024-11-11T00:00:00"/>
        <d v="2024-11-21T00:00:00"/>
        <d v="2024-11-25T00:00:00"/>
        <d v="2024-11-30T00:00:00"/>
        <d v="2024-12-19T00:00:00"/>
        <d v="2024-12-25T00:00:00"/>
        <d v="2024-12-31T00:00:00"/>
        <d v="2025-01-16T00:00:00"/>
        <d v="2025-01-31T00:00:00"/>
        <d v="2025-02-13T00:00:00"/>
        <d v="2025-02-28T00:00:00"/>
        <d v="2025-03-13T00:00:00"/>
        <d v="2025-03-31T00:00:00"/>
        <d v="2025-04-10T00:00:00"/>
        <d v="2025-04-30T00:00:00"/>
        <d v="2025-05-08T00:00:00"/>
        <d v="2025-05-31T00:00:00"/>
        <d v="2025-06-05T00:00:00"/>
        <m/>
        <d v="2024-06-04T00:00:00" u="1"/>
        <d v="2024-07-05T00:00:00" u="1"/>
        <d v="2024-08-04T00:00:00" u="1"/>
        <d v="2024-09-03T00:00:00" u="1"/>
        <d v="2024-10-07T00:00:00" u="1"/>
        <d v="2024-11-03T00:00:00" u="1"/>
        <d v="2024-12-06T00:00:00" u="1"/>
        <d v="2025-01-07T00:00:00" u="1"/>
        <d v="2025-02-05T00:00:00" u="1"/>
        <d v="2025-03-03T00:00:00" u="1"/>
        <d v="2025-04-02T00:00:00" u="1"/>
        <d v="2024-02-06T00:00:00" u="1"/>
        <d v="2024-03-07T00:00:00" u="1"/>
        <d v="2024-04-08T00:00:00" u="1"/>
        <d v="2024-10-03T00:00:00" u="1"/>
        <d v="2025-12-23T00:00:00" u="1"/>
      </sharedItems>
      <fieldGroup par="7"/>
    </cacheField>
    <cacheField name="Particular2" numFmtId="0">
      <sharedItems containsBlank="1" count="15">
        <s v="HDFC Opening Balance"/>
        <s v="IMS FNF"/>
        <s v="IMS Salary"/>
        <s v="Monzo Referal Bonus"/>
        <s v="Suji Wages"/>
        <s v="Natwest Switch Offer"/>
        <s v="KFC"/>
        <s v="Starling Interest"/>
        <s v="HDFC Interest"/>
        <s v="Currys"/>
        <s v="Suji Cristmas Gift"/>
        <m/>
        <s v="Salim vada" u="1"/>
        <s v="KFC " u="1"/>
        <s v="KFC F&amp;F" u="1"/>
      </sharedItems>
    </cacheField>
    <cacheField name="Amount" numFmtId="168">
      <sharedItems containsString="0" containsBlank="1" containsNumber="1" minValue="0.12" maxValue="1384.92"/>
    </cacheField>
    <cacheField name="Months (Date )" numFmtId="0" databaseField="0">
      <fieldGroup base="3">
        <rangePr groupBy="months" startDate="2023-01-01T00:00:00" endDate="2025-06-06T00:00:00"/>
        <groupItems count="14">
          <s v="&lt;01-01-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6-06-25"/>
        </groupItems>
      </fieldGroup>
    </cacheField>
    <cacheField name="Years (Date )" numFmtId="0" databaseField="0">
      <fieldGroup base="3">
        <rangePr groupBy="years" startDate="2023-01-01T00:00:00" endDate="2025-06-06T00:00:00"/>
        <groupItems count="5">
          <s v="&lt;01-01-23"/>
          <s v="2023"/>
          <s v="2024"/>
          <s v="2025"/>
          <s v="&gt;06-06-25"/>
        </groupItems>
      </fieldGroup>
    </cacheField>
    <cacheField name="Months (Date)" numFmtId="0" databaseField="0">
      <fieldGroup base="0">
        <rangePr groupBy="months" startDate="2023-12-23T00:00:00" endDate="2025-07-01T00:00:00"/>
        <groupItems count="14">
          <s v="&lt;23-12-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5"/>
        </groupItems>
      </fieldGroup>
    </cacheField>
    <cacheField name="Quarters (Date)" numFmtId="0" databaseField="0">
      <fieldGroup base="0">
        <rangePr groupBy="quarters" startDate="2023-12-23T00:00:00" endDate="2025-07-01T00:00:00"/>
        <groupItems count="6">
          <s v="&lt;23-12-23"/>
          <s v="Qtr1"/>
          <s v="Qtr2"/>
          <s v="Qtr3"/>
          <s v="Qtr4"/>
          <s v="&gt;01-07-25"/>
        </groupItems>
      </fieldGroup>
    </cacheField>
    <cacheField name="Years (Date)" numFmtId="0" databaseField="0">
      <fieldGroup base="0">
        <rangePr groupBy="years" startDate="2023-12-23T00:00:00" endDate="2025-07-01T00:00:00"/>
        <groupItems count="5">
          <s v="&lt;23-12-23"/>
          <s v="2023"/>
          <s v="2024"/>
          <s v="2025"/>
          <s v="&gt;01-07-25"/>
        </groupItems>
      </fieldGroup>
    </cacheField>
  </cacheFields>
  <extLst>
    <ext xmlns:x14="http://schemas.microsoft.com/office/spreadsheetml/2009/9/main" uri="{725AE2AE-9491-48be-B2B4-4EB974FC3084}">
      <x14:pivotCacheDefinition pivotCacheId="77372684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">
  <r>
    <x v="0"/>
    <x v="0"/>
    <n v="10689.58"/>
    <x v="0"/>
    <x v="0"/>
    <n v="97.88"/>
  </r>
  <r>
    <x v="1"/>
    <x v="1"/>
    <n v="45"/>
    <x v="1"/>
    <x v="1"/>
    <n v="104"/>
  </r>
  <r>
    <x v="2"/>
    <x v="2"/>
    <n v="2.5"/>
    <x v="2"/>
    <x v="2"/>
    <n v="237.02"/>
  </r>
  <r>
    <x v="3"/>
    <x v="3"/>
    <n v="10.8"/>
    <x v="3"/>
    <x v="3"/>
    <n v="5"/>
  </r>
  <r>
    <x v="3"/>
    <x v="4"/>
    <n v="22.6"/>
    <x v="4"/>
    <x v="4"/>
    <n v="680"/>
  </r>
  <r>
    <x v="4"/>
    <x v="5"/>
    <n v="11"/>
    <x v="5"/>
    <x v="4"/>
    <n v="690.52"/>
  </r>
  <r>
    <x v="5"/>
    <x v="2"/>
    <n v="5"/>
    <x v="6"/>
    <x v="4"/>
    <n v="540"/>
  </r>
  <r>
    <x v="6"/>
    <x v="6"/>
    <n v="650.63"/>
    <x v="7"/>
    <x v="5"/>
    <n v="200"/>
  </r>
  <r>
    <x v="7"/>
    <x v="3"/>
    <n v="10.79"/>
    <x v="8"/>
    <x v="6"/>
    <n v="106.36"/>
  </r>
  <r>
    <x v="7"/>
    <x v="4"/>
    <n v="70"/>
    <x v="9"/>
    <x v="4"/>
    <n v="650"/>
  </r>
  <r>
    <x v="8"/>
    <x v="2"/>
    <n v="5"/>
    <x v="10"/>
    <x v="6"/>
    <n v="291.48"/>
  </r>
  <r>
    <x v="9"/>
    <x v="3"/>
    <n v="21.88"/>
    <x v="11"/>
    <x v="6"/>
    <n v="444.1"/>
  </r>
  <r>
    <x v="9"/>
    <x v="4"/>
    <n v="43.2"/>
    <x v="12"/>
    <x v="4"/>
    <n v="644"/>
  </r>
  <r>
    <x v="10"/>
    <x v="7"/>
    <n v="15.3"/>
    <x v="13"/>
    <x v="6"/>
    <n v="375.48"/>
  </r>
  <r>
    <x v="11"/>
    <x v="1"/>
    <n v="5.5"/>
    <x v="14"/>
    <x v="6"/>
    <n v="415.32"/>
  </r>
  <r>
    <x v="11"/>
    <x v="2"/>
    <n v="5"/>
    <x v="15"/>
    <x v="4"/>
    <n v="385"/>
  </r>
  <r>
    <x v="11"/>
    <x v="1"/>
    <n v="14"/>
    <x v="16"/>
    <x v="7"/>
    <n v="0.12"/>
  </r>
  <r>
    <x v="12"/>
    <x v="8"/>
    <n v="118.97"/>
    <x v="17"/>
    <x v="6"/>
    <n v="425.46"/>
  </r>
  <r>
    <x v="12"/>
    <x v="9"/>
    <n v="32.53"/>
    <x v="18"/>
    <x v="6"/>
    <n v="426.04"/>
  </r>
  <r>
    <x v="13"/>
    <x v="4"/>
    <n v="43"/>
    <x v="19"/>
    <x v="4"/>
    <n v="525"/>
  </r>
  <r>
    <x v="14"/>
    <x v="10"/>
    <n v="64"/>
    <x v="20"/>
    <x v="7"/>
    <n v="0.13"/>
  </r>
  <r>
    <x v="13"/>
    <x v="3"/>
    <n v="18.98"/>
    <x v="21"/>
    <x v="6"/>
    <n v="277.85000000000002"/>
  </r>
  <r>
    <x v="15"/>
    <x v="11"/>
    <n v="3.05"/>
    <x v="22"/>
    <x v="6"/>
    <n v="370.47"/>
  </r>
  <r>
    <x v="16"/>
    <x v="2"/>
    <n v="5"/>
    <x v="23"/>
    <x v="4"/>
    <n v="896"/>
  </r>
  <r>
    <x v="17"/>
    <x v="12"/>
    <n v="34"/>
    <x v="24"/>
    <x v="7"/>
    <n v="0.12"/>
  </r>
  <r>
    <x v="17"/>
    <x v="13"/>
    <n v="7"/>
    <x v="25"/>
    <x v="6"/>
    <n v="239.76"/>
  </r>
  <r>
    <x v="18"/>
    <x v="5"/>
    <n v="12"/>
    <x v="26"/>
    <x v="6"/>
    <n v="510.52"/>
  </r>
  <r>
    <x v="19"/>
    <x v="4"/>
    <n v="84.1"/>
    <x v="27"/>
    <x v="6"/>
    <n v="935.28"/>
  </r>
  <r>
    <x v="20"/>
    <x v="14"/>
    <n v="300"/>
    <x v="27"/>
    <x v="4"/>
    <n v="340"/>
  </r>
  <r>
    <x v="19"/>
    <x v="3"/>
    <n v="27.39"/>
    <x v="28"/>
    <x v="7"/>
    <n v="0.12"/>
  </r>
  <r>
    <x v="21"/>
    <x v="14"/>
    <n v="308"/>
    <x v="28"/>
    <x v="8"/>
    <n v="0.9"/>
  </r>
  <r>
    <x v="22"/>
    <x v="15"/>
    <n v="6385"/>
    <x v="29"/>
    <x v="6"/>
    <n v="463.9"/>
  </r>
  <r>
    <x v="23"/>
    <x v="16"/>
    <n v="3.05"/>
    <x v="30"/>
    <x v="6"/>
    <n v="348.57"/>
  </r>
  <r>
    <x v="24"/>
    <x v="2"/>
    <n v="5"/>
    <x v="31"/>
    <x v="4"/>
    <n v="416.5"/>
  </r>
  <r>
    <x v="21"/>
    <x v="4"/>
    <n v="72.599999999999994"/>
    <x v="32"/>
    <x v="6"/>
    <n v="430.82"/>
  </r>
  <r>
    <x v="25"/>
    <x v="2"/>
    <n v="5"/>
    <x v="33"/>
    <x v="9"/>
    <n v="184"/>
  </r>
  <r>
    <x v="21"/>
    <x v="3"/>
    <n v="40.25"/>
    <x v="34"/>
    <x v="6"/>
    <n v="792.51"/>
  </r>
  <r>
    <x v="26"/>
    <x v="17"/>
    <n v="50"/>
    <x v="35"/>
    <x v="4"/>
    <n v="252"/>
  </r>
  <r>
    <x v="27"/>
    <x v="18"/>
    <n v="92.95"/>
    <x v="36"/>
    <x v="9"/>
    <n v="776.26"/>
  </r>
  <r>
    <x v="28"/>
    <x v="3"/>
    <n v="54.05"/>
    <x v="37"/>
    <x v="10"/>
    <n v="100"/>
  </r>
  <r>
    <x v="28"/>
    <x v="4"/>
    <n v="66.400000000000006"/>
    <x v="38"/>
    <x v="4"/>
    <n v="161"/>
  </r>
  <r>
    <x v="28"/>
    <x v="14"/>
    <n v="318"/>
    <x v="39"/>
    <x v="9"/>
    <n v="1384.92"/>
  </r>
  <r>
    <x v="29"/>
    <x v="2"/>
    <n v="5"/>
    <x v="40"/>
    <x v="4"/>
    <n v="344"/>
  </r>
  <r>
    <x v="30"/>
    <x v="19"/>
    <n v="14.25"/>
    <x v="41"/>
    <x v="9"/>
    <n v="972.51"/>
  </r>
  <r>
    <x v="31"/>
    <x v="3"/>
    <n v="54.03"/>
    <x v="42"/>
    <x v="4"/>
    <n v="248"/>
  </r>
  <r>
    <x v="32"/>
    <x v="20"/>
    <n v="56.99"/>
    <x v="43"/>
    <x v="9"/>
    <n v="974.29"/>
  </r>
  <r>
    <x v="31"/>
    <x v="4"/>
    <n v="58"/>
    <x v="44"/>
    <x v="4"/>
    <n v="688"/>
  </r>
  <r>
    <x v="31"/>
    <x v="14"/>
    <n v="350"/>
    <x v="45"/>
    <x v="9"/>
    <n v="993.08"/>
  </r>
  <r>
    <x v="33"/>
    <x v="2"/>
    <n v="5"/>
    <x v="46"/>
    <x v="4"/>
    <n v="568"/>
  </r>
  <r>
    <x v="34"/>
    <x v="5"/>
    <n v="12"/>
    <x v="47"/>
    <x v="9"/>
    <n v="988.66"/>
  </r>
  <r>
    <x v="35"/>
    <x v="21"/>
    <n v="1429.18"/>
    <x v="48"/>
    <x v="4"/>
    <n v="616"/>
  </r>
  <r>
    <x v="36"/>
    <x v="2"/>
    <n v="5"/>
    <x v="49"/>
    <x v="9"/>
    <n v="1226.6600000000001"/>
  </r>
  <r>
    <x v="37"/>
    <x v="4"/>
    <n v="238.72"/>
    <x v="50"/>
    <x v="11"/>
    <m/>
  </r>
  <r>
    <x v="37"/>
    <x v="3"/>
    <n v="65.52"/>
    <x v="50"/>
    <x v="11"/>
    <m/>
  </r>
  <r>
    <x v="37"/>
    <x v="14"/>
    <n v="324"/>
    <x v="50"/>
    <x v="11"/>
    <m/>
  </r>
  <r>
    <x v="38"/>
    <x v="22"/>
    <n v="1.99"/>
    <x v="50"/>
    <x v="11"/>
    <m/>
  </r>
  <r>
    <x v="39"/>
    <x v="23"/>
    <n v="100"/>
    <x v="50"/>
    <x v="11"/>
    <m/>
  </r>
  <r>
    <x v="40"/>
    <x v="2"/>
    <n v="5"/>
    <x v="50"/>
    <x v="11"/>
    <m/>
  </r>
  <r>
    <x v="41"/>
    <x v="24"/>
    <n v="23"/>
    <x v="50"/>
    <x v="11"/>
    <m/>
  </r>
  <r>
    <x v="42"/>
    <x v="4"/>
    <n v="254.6"/>
    <x v="50"/>
    <x v="11"/>
    <m/>
  </r>
  <r>
    <x v="42"/>
    <x v="3"/>
    <n v="67.599999999999994"/>
    <x v="50"/>
    <x v="11"/>
    <m/>
  </r>
  <r>
    <x v="42"/>
    <x v="1"/>
    <n v="7"/>
    <x v="50"/>
    <x v="11"/>
    <m/>
  </r>
  <r>
    <x v="42"/>
    <x v="14"/>
    <n v="362"/>
    <x v="50"/>
    <x v="11"/>
    <m/>
  </r>
  <r>
    <x v="42"/>
    <x v="25"/>
    <n v="61.5"/>
    <x v="50"/>
    <x v="11"/>
    <m/>
  </r>
  <r>
    <x v="43"/>
    <x v="2"/>
    <n v="10"/>
    <x v="50"/>
    <x v="11"/>
    <m/>
  </r>
  <r>
    <x v="44"/>
    <x v="3"/>
    <n v="58.68"/>
    <x v="50"/>
    <x v="11"/>
    <m/>
  </r>
  <r>
    <x v="44"/>
    <x v="4"/>
    <n v="172.06"/>
    <x v="50"/>
    <x v="11"/>
    <m/>
  </r>
  <r>
    <x v="44"/>
    <x v="14"/>
    <n v="342.85"/>
    <x v="50"/>
    <x v="11"/>
    <m/>
  </r>
  <r>
    <x v="44"/>
    <x v="25"/>
    <n v="82.97"/>
    <x v="50"/>
    <x v="11"/>
    <m/>
  </r>
  <r>
    <x v="45"/>
    <x v="26"/>
    <n v="5.53"/>
    <x v="50"/>
    <x v="11"/>
    <m/>
  </r>
  <r>
    <x v="46"/>
    <x v="2"/>
    <n v="10"/>
    <x v="50"/>
    <x v="11"/>
    <m/>
  </r>
  <r>
    <x v="47"/>
    <x v="27"/>
    <n v="120"/>
    <x v="50"/>
    <x v="11"/>
    <m/>
  </r>
  <r>
    <x v="48"/>
    <x v="28"/>
    <n v="30"/>
    <x v="50"/>
    <x v="11"/>
    <m/>
  </r>
  <r>
    <x v="49"/>
    <x v="3"/>
    <n v="70.39"/>
    <x v="50"/>
    <x v="11"/>
    <m/>
  </r>
  <r>
    <x v="49"/>
    <x v="1"/>
    <n v="69"/>
    <x v="50"/>
    <x v="11"/>
    <m/>
  </r>
  <r>
    <x v="49"/>
    <x v="4"/>
    <n v="72.81"/>
    <x v="50"/>
    <x v="11"/>
    <m/>
  </r>
  <r>
    <x v="49"/>
    <x v="14"/>
    <n v="339"/>
    <x v="50"/>
    <x v="11"/>
    <m/>
  </r>
  <r>
    <x v="49"/>
    <x v="25"/>
    <n v="51.86"/>
    <x v="50"/>
    <x v="11"/>
    <m/>
  </r>
  <r>
    <x v="50"/>
    <x v="2"/>
    <n v="10"/>
    <x v="50"/>
    <x v="11"/>
    <m/>
  </r>
  <r>
    <x v="51"/>
    <x v="5"/>
    <n v="12"/>
    <x v="50"/>
    <x v="11"/>
    <m/>
  </r>
  <r>
    <x v="52"/>
    <x v="4"/>
    <n v="86.5"/>
    <x v="50"/>
    <x v="11"/>
    <m/>
  </r>
  <r>
    <x v="52"/>
    <x v="3"/>
    <n v="50.78"/>
    <x v="50"/>
    <x v="11"/>
    <m/>
  </r>
  <r>
    <x v="52"/>
    <x v="1"/>
    <n v="8"/>
    <x v="50"/>
    <x v="11"/>
    <m/>
  </r>
  <r>
    <x v="52"/>
    <x v="29"/>
    <n v="68"/>
    <x v="50"/>
    <x v="11"/>
    <m/>
  </r>
  <r>
    <x v="52"/>
    <x v="21"/>
    <n v="244.71"/>
    <x v="50"/>
    <x v="11"/>
    <m/>
  </r>
  <r>
    <x v="52"/>
    <x v="30"/>
    <n v="64.69"/>
    <x v="50"/>
    <x v="11"/>
    <m/>
  </r>
  <r>
    <x v="52"/>
    <x v="14"/>
    <n v="285.67"/>
    <x v="50"/>
    <x v="11"/>
    <m/>
  </r>
  <r>
    <x v="52"/>
    <x v="25"/>
    <n v="86.45"/>
    <x v="50"/>
    <x v="11"/>
    <m/>
  </r>
  <r>
    <x v="53"/>
    <x v="2"/>
    <n v="10"/>
    <x v="50"/>
    <x v="11"/>
    <m/>
  </r>
  <r>
    <x v="54"/>
    <x v="30"/>
    <n v="20.69"/>
    <x v="50"/>
    <x v="11"/>
    <m/>
  </r>
  <r>
    <x v="55"/>
    <x v="3"/>
    <n v="34.28"/>
    <x v="50"/>
    <x v="11"/>
    <m/>
  </r>
  <r>
    <x v="55"/>
    <x v="4"/>
    <n v="107.5"/>
    <x v="50"/>
    <x v="11"/>
    <m/>
  </r>
  <r>
    <x v="55"/>
    <x v="14"/>
    <n v="302"/>
    <x v="50"/>
    <x v="11"/>
    <m/>
  </r>
  <r>
    <x v="55"/>
    <x v="25"/>
    <n v="61.03"/>
    <x v="50"/>
    <x v="11"/>
    <m/>
  </r>
  <r>
    <x v="56"/>
    <x v="2"/>
    <n v="10"/>
    <x v="50"/>
    <x v="11"/>
    <m/>
  </r>
  <r>
    <x v="56"/>
    <x v="31"/>
    <n v="58.183999999999997"/>
    <x v="50"/>
    <x v="11"/>
    <m/>
  </r>
  <r>
    <x v="57"/>
    <x v="30"/>
    <n v="20.69"/>
    <x v="50"/>
    <x v="11"/>
    <m/>
  </r>
  <r>
    <x v="58"/>
    <x v="32"/>
    <n v="101.99"/>
    <x v="50"/>
    <x v="11"/>
    <m/>
  </r>
  <r>
    <x v="59"/>
    <x v="4"/>
    <n v="89.01"/>
    <x v="50"/>
    <x v="11"/>
    <m/>
  </r>
  <r>
    <x v="59"/>
    <x v="3"/>
    <n v="120.69"/>
    <x v="50"/>
    <x v="11"/>
    <m/>
  </r>
  <r>
    <x v="59"/>
    <x v="1"/>
    <n v="18.46"/>
    <x v="50"/>
    <x v="11"/>
    <m/>
  </r>
  <r>
    <x v="59"/>
    <x v="2"/>
    <n v="10"/>
    <x v="50"/>
    <x v="11"/>
    <m/>
  </r>
  <r>
    <x v="59"/>
    <x v="14"/>
    <n v="393"/>
    <x v="50"/>
    <x v="11"/>
    <m/>
  </r>
  <r>
    <x v="59"/>
    <x v="25"/>
    <n v="83.12"/>
    <x v="50"/>
    <x v="11"/>
    <m/>
  </r>
  <r>
    <x v="60"/>
    <x v="29"/>
    <n v="133.30000000000001"/>
    <x v="50"/>
    <x v="11"/>
    <m/>
  </r>
  <r>
    <x v="61"/>
    <x v="7"/>
    <n v="33.770000000000003"/>
    <x v="50"/>
    <x v="11"/>
    <m/>
  </r>
  <r>
    <x v="62"/>
    <x v="1"/>
    <n v="40"/>
    <x v="50"/>
    <x v="11"/>
    <m/>
  </r>
  <r>
    <x v="62"/>
    <x v="32"/>
    <n v="250"/>
    <x v="50"/>
    <x v="11"/>
    <m/>
  </r>
  <r>
    <x v="63"/>
    <x v="30"/>
    <n v="20.69"/>
    <x v="50"/>
    <x v="11"/>
    <m/>
  </r>
  <r>
    <x v="64"/>
    <x v="2"/>
    <n v="10"/>
    <x v="50"/>
    <x v="11"/>
    <m/>
  </r>
  <r>
    <x v="64"/>
    <x v="4"/>
    <n v="87"/>
    <x v="50"/>
    <x v="11"/>
    <m/>
  </r>
  <r>
    <x v="64"/>
    <x v="3"/>
    <n v="73.989999999999995"/>
    <x v="50"/>
    <x v="11"/>
    <m/>
  </r>
  <r>
    <x v="64"/>
    <x v="14"/>
    <n v="383"/>
    <x v="50"/>
    <x v="11"/>
    <m/>
  </r>
  <r>
    <x v="64"/>
    <x v="25"/>
    <n v="78.05"/>
    <x v="50"/>
    <x v="11"/>
    <m/>
  </r>
  <r>
    <x v="65"/>
    <x v="30"/>
    <n v="49.64"/>
    <x v="50"/>
    <x v="11"/>
    <m/>
  </r>
  <r>
    <x v="66"/>
    <x v="2"/>
    <n v="10"/>
    <x v="50"/>
    <x v="11"/>
    <m/>
  </r>
  <r>
    <x v="67"/>
    <x v="3"/>
    <n v="77.13"/>
    <x v="50"/>
    <x v="11"/>
    <m/>
  </r>
  <r>
    <x v="67"/>
    <x v="14"/>
    <n v="400"/>
    <x v="50"/>
    <x v="11"/>
    <m/>
  </r>
  <r>
    <x v="67"/>
    <x v="33"/>
    <n v="136.99"/>
    <x v="50"/>
    <x v="11"/>
    <m/>
  </r>
  <r>
    <x v="68"/>
    <x v="3"/>
    <n v="27.34"/>
    <x v="50"/>
    <x v="11"/>
    <m/>
  </r>
  <r>
    <x v="67"/>
    <x v="4"/>
    <n v="81"/>
    <x v="50"/>
    <x v="1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8ECCD6-08D5-4D89-94DC-2109DEA32826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H3:I24" firstHeaderRow="1" firstDataRow="1" firstDataCol="1"/>
  <pivotFields count="11">
    <pivotField numFmtId="14" showAll="0">
      <items count="90">
        <item x="0"/>
        <item x="1"/>
        <item x="2"/>
        <item x="3"/>
        <item x="4"/>
        <item x="6"/>
        <item x="5"/>
        <item x="7"/>
        <item x="8"/>
        <item x="9"/>
        <item x="10"/>
        <item x="11"/>
        <item x="12"/>
        <item x="14"/>
        <item x="13"/>
        <item x="15"/>
        <item x="17"/>
        <item x="16"/>
        <item x="18"/>
        <item x="19"/>
        <item x="22"/>
        <item x="23"/>
        <item x="24"/>
        <item x="20"/>
        <item x="21"/>
        <item x="25"/>
        <item m="1" x="79"/>
        <item x="26"/>
        <item x="27"/>
        <item x="28"/>
        <item m="1" x="80"/>
        <item x="29"/>
        <item x="30"/>
        <item x="32"/>
        <item x="31"/>
        <item x="33"/>
        <item m="1" x="81"/>
        <item x="34"/>
        <item x="35"/>
        <item x="36"/>
        <item x="37"/>
        <item x="38"/>
        <item m="1" x="82"/>
        <item x="39"/>
        <item x="40"/>
        <item x="41"/>
        <item x="42"/>
        <item m="1" x="83"/>
        <item x="43"/>
        <item x="44"/>
        <item x="45"/>
        <item x="46"/>
        <item m="1" x="84"/>
        <item x="47"/>
        <item x="48"/>
        <item x="49"/>
        <item m="1" x="85"/>
        <item x="52"/>
        <item x="50"/>
        <item x="51"/>
        <item m="1" x="88"/>
        <item m="1" x="86"/>
        <item x="53"/>
        <item x="54"/>
        <item x="55"/>
        <item m="1" x="69"/>
        <item x="59"/>
        <item x="56"/>
        <item x="57"/>
        <item x="58"/>
        <item m="1" x="87"/>
        <item m="1" x="70"/>
        <item m="1" x="71"/>
        <item m="1" x="72"/>
        <item m="1" x="73"/>
        <item m="1" x="74"/>
        <item m="1" x="75"/>
        <item m="1" x="76"/>
        <item m="1" x="77"/>
        <item m="1" x="78"/>
        <item x="63"/>
        <item x="64"/>
        <item x="62"/>
        <item x="60"/>
        <item x="61"/>
        <item x="66"/>
        <item x="65"/>
        <item x="67"/>
        <item x="68"/>
        <item t="default"/>
      </items>
    </pivotField>
    <pivotField showAll="0"/>
    <pivotField dataField="1" numFmtId="168" showAll="0"/>
    <pivotField showAll="0">
      <items count="68">
        <item x="0"/>
        <item x="1"/>
        <item x="2"/>
        <item x="3"/>
        <item m="1" x="62"/>
        <item m="1" x="63"/>
        <item x="7"/>
        <item m="1" x="64"/>
        <item x="8"/>
        <item x="10"/>
        <item x="11"/>
        <item m="1" x="51"/>
        <item x="13"/>
        <item x="14"/>
        <item x="16"/>
        <item m="1" x="52"/>
        <item x="17"/>
        <item x="18"/>
        <item x="20"/>
        <item m="1" x="53"/>
        <item x="21"/>
        <item x="22"/>
        <item x="24"/>
        <item x="25"/>
        <item m="1" x="54"/>
        <item x="26"/>
        <item x="27"/>
        <item x="28"/>
        <item m="1" x="65"/>
        <item x="29"/>
        <item x="30"/>
        <item m="1" x="66"/>
        <item x="50"/>
        <item x="35"/>
        <item m="1" x="56"/>
        <item m="1" x="55"/>
        <item x="32"/>
        <item x="34"/>
        <item x="33"/>
        <item m="1" x="57"/>
        <item x="36"/>
        <item x="37"/>
        <item m="1" x="58"/>
        <item x="39"/>
        <item m="1" x="59"/>
        <item x="41"/>
        <item x="43"/>
        <item m="1" x="60"/>
        <item m="1" x="61"/>
        <item x="4"/>
        <item x="5"/>
        <item x="6"/>
        <item x="9"/>
        <item x="12"/>
        <item x="15"/>
        <item x="19"/>
        <item x="23"/>
        <item x="31"/>
        <item x="38"/>
        <item x="40"/>
        <item x="42"/>
        <item x="44"/>
        <item x="45"/>
        <item x="46"/>
        <item x="47"/>
        <item x="48"/>
        <item x="49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h="1" x="0"/>
        <item h="1" x="1"/>
        <item x="2"/>
        <item h="1" x="3"/>
        <item h="1" x="4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6">
        <item h="1" x="0"/>
        <item h="1" x="1"/>
        <item x="2"/>
        <item x="3"/>
        <item h="1" x="4"/>
        <item t="default"/>
      </items>
    </pivotField>
  </pivotFields>
  <rowFields count="2">
    <field x="10"/>
    <field x="8"/>
  </rowFields>
  <rowItems count="21"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Sum of Amount " fld="2" baseField="0" baseItem="0" numFmtId="168"/>
  </dataFields>
  <chartFormats count="1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4495C2-C224-4F74-A48A-DC625D23AAA4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E3:F24" firstHeaderRow="1" firstDataRow="1" firstDataCol="1"/>
  <pivotFields count="11">
    <pivotField numFmtId="14" showAll="0">
      <items count="90">
        <item x="0"/>
        <item x="1"/>
        <item x="2"/>
        <item x="3"/>
        <item x="4"/>
        <item x="6"/>
        <item x="5"/>
        <item x="7"/>
        <item x="8"/>
        <item x="9"/>
        <item x="10"/>
        <item x="11"/>
        <item x="12"/>
        <item x="14"/>
        <item x="13"/>
        <item x="15"/>
        <item x="17"/>
        <item x="16"/>
        <item x="18"/>
        <item x="19"/>
        <item x="22"/>
        <item x="23"/>
        <item x="24"/>
        <item x="20"/>
        <item x="21"/>
        <item x="25"/>
        <item m="1" x="79"/>
        <item x="26"/>
        <item x="27"/>
        <item x="28"/>
        <item m="1" x="80"/>
        <item x="29"/>
        <item x="30"/>
        <item x="32"/>
        <item x="31"/>
        <item x="33"/>
        <item m="1" x="81"/>
        <item x="34"/>
        <item x="35"/>
        <item x="36"/>
        <item x="37"/>
        <item x="38"/>
        <item m="1" x="82"/>
        <item x="39"/>
        <item x="40"/>
        <item x="41"/>
        <item x="42"/>
        <item m="1" x="83"/>
        <item x="43"/>
        <item x="44"/>
        <item x="45"/>
        <item x="46"/>
        <item m="1" x="84"/>
        <item x="47"/>
        <item x="48"/>
        <item x="49"/>
        <item m="1" x="85"/>
        <item x="52"/>
        <item x="50"/>
        <item x="51"/>
        <item m="1" x="88"/>
        <item m="1" x="86"/>
        <item x="53"/>
        <item x="54"/>
        <item x="55"/>
        <item m="1" x="69"/>
        <item x="59"/>
        <item x="56"/>
        <item x="57"/>
        <item x="58"/>
        <item m="1" x="87"/>
        <item m="1" x="70"/>
        <item m="1" x="71"/>
        <item m="1" x="72"/>
        <item m="1" x="73"/>
        <item m="1" x="74"/>
        <item m="1" x="75"/>
        <item m="1" x="76"/>
        <item m="1" x="77"/>
        <item m="1" x="78"/>
        <item x="63"/>
        <item x="64"/>
        <item x="62"/>
        <item x="60"/>
        <item x="61"/>
        <item x="66"/>
        <item x="65"/>
        <item x="67"/>
        <item x="68"/>
        <item t="default"/>
      </items>
    </pivotField>
    <pivotField showAll="0"/>
    <pivotField numFmtId="168" showAll="0"/>
    <pivotField showAll="0">
      <items count="68">
        <item x="0"/>
        <item x="1"/>
        <item x="2"/>
        <item x="3"/>
        <item m="1" x="62"/>
        <item m="1" x="63"/>
        <item x="7"/>
        <item m="1" x="64"/>
        <item x="8"/>
        <item x="10"/>
        <item x="11"/>
        <item m="1" x="51"/>
        <item x="13"/>
        <item x="14"/>
        <item x="16"/>
        <item m="1" x="52"/>
        <item x="17"/>
        <item x="18"/>
        <item x="20"/>
        <item m="1" x="53"/>
        <item x="21"/>
        <item x="22"/>
        <item x="24"/>
        <item x="25"/>
        <item m="1" x="54"/>
        <item x="26"/>
        <item x="27"/>
        <item x="28"/>
        <item m="1" x="65"/>
        <item x="29"/>
        <item x="30"/>
        <item m="1" x="66"/>
        <item x="50"/>
        <item x="35"/>
        <item m="1" x="56"/>
        <item m="1" x="55"/>
        <item x="32"/>
        <item x="34"/>
        <item x="33"/>
        <item m="1" x="57"/>
        <item x="36"/>
        <item x="37"/>
        <item m="1" x="58"/>
        <item x="39"/>
        <item m="1" x="59"/>
        <item x="41"/>
        <item x="43"/>
        <item m="1" x="60"/>
        <item m="1" x="61"/>
        <item x="4"/>
        <item x="5"/>
        <item x="6"/>
        <item x="9"/>
        <item x="12"/>
        <item x="15"/>
        <item x="19"/>
        <item x="23"/>
        <item x="31"/>
        <item x="38"/>
        <item x="40"/>
        <item x="42"/>
        <item x="44"/>
        <item x="45"/>
        <item x="46"/>
        <item x="47"/>
        <item x="48"/>
        <item x="49"/>
        <item t="default"/>
      </items>
    </pivotField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h="1" x="0"/>
        <item h="1" x="1"/>
        <item x="2"/>
        <item x="3"/>
        <item h="1" x="4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2">
    <field x="7"/>
    <field x="6"/>
  </rowFields>
  <rowItems count="21"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Sum of Amount" fld="5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0741F2-CDD3-4055-AFEB-5528C3F9D8E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4">
  <location ref="L5:N21" firstHeaderRow="1" firstDataRow="2" firstDataCol="1"/>
  <pivotFields count="11">
    <pivotField numFmtId="14" showAll="0">
      <items count="90">
        <item x="0"/>
        <item x="1"/>
        <item x="2"/>
        <item x="3"/>
        <item x="4"/>
        <item x="6"/>
        <item x="5"/>
        <item x="7"/>
        <item x="8"/>
        <item x="9"/>
        <item x="10"/>
        <item x="11"/>
        <item x="12"/>
        <item x="14"/>
        <item x="13"/>
        <item x="15"/>
        <item x="17"/>
        <item x="16"/>
        <item x="18"/>
        <item x="19"/>
        <item x="22"/>
        <item x="23"/>
        <item x="24"/>
        <item x="20"/>
        <item x="21"/>
        <item x="25"/>
        <item m="1" x="79"/>
        <item x="26"/>
        <item x="27"/>
        <item x="28"/>
        <item m="1" x="80"/>
        <item x="29"/>
        <item x="30"/>
        <item x="32"/>
        <item x="31"/>
        <item x="33"/>
        <item m="1" x="81"/>
        <item x="34"/>
        <item x="35"/>
        <item x="36"/>
        <item x="37"/>
        <item x="38"/>
        <item m="1" x="82"/>
        <item x="39"/>
        <item x="40"/>
        <item x="41"/>
        <item x="42"/>
        <item m="1" x="83"/>
        <item x="43"/>
        <item x="44"/>
        <item x="45"/>
        <item x="46"/>
        <item m="1" x="84"/>
        <item x="47"/>
        <item x="48"/>
        <item x="49"/>
        <item m="1" x="85"/>
        <item x="52"/>
        <item x="50"/>
        <item x="51"/>
        <item m="1" x="88"/>
        <item m="1" x="86"/>
        <item x="53"/>
        <item x="54"/>
        <item x="55"/>
        <item m="1" x="69"/>
        <item x="59"/>
        <item x="56"/>
        <item x="57"/>
        <item x="58"/>
        <item m="1" x="87"/>
        <item m="1" x="70"/>
        <item m="1" x="71"/>
        <item m="1" x="72"/>
        <item m="1" x="73"/>
        <item m="1" x="74"/>
        <item m="1" x="75"/>
        <item m="1" x="76"/>
        <item m="1" x="77"/>
        <item m="1" x="78"/>
        <item x="63"/>
        <item x="64"/>
        <item x="62"/>
        <item x="60"/>
        <item x="61"/>
        <item x="66"/>
        <item x="65"/>
        <item x="67"/>
        <item x="68"/>
        <item t="default"/>
      </items>
    </pivotField>
    <pivotField axis="axisCol" multipleItemSelectionAllowed="1" showAll="0">
      <items count="40">
        <item h="1" sd="0" m="1" x="38"/>
        <item h="1" sd="0" x="9"/>
        <item h="1" sd="0" x="10"/>
        <item h="1" sd="0" x="13"/>
        <item h="1" sd="0" m="1" x="36"/>
        <item h="1" sd="0" m="1" x="35"/>
        <item h="1" sd="0" x="15"/>
        <item h="1" sd="0" x="24"/>
        <item h="1" sd="0" x="3"/>
        <item h="1" sd="0" x="8"/>
        <item h="1" sd="0" x="7"/>
        <item h="1" sd="0" x="5"/>
        <item h="1" sd="0" x="21"/>
        <item h="1" sd="0" x="18"/>
        <item h="1" sd="0" x="17"/>
        <item sd="0" x="14"/>
        <item h="1" sd="0" x="6"/>
        <item h="1" sd="0" x="2"/>
        <item h="1" sd="0" m="1" x="37"/>
        <item h="1" sd="0" x="12"/>
        <item h="1" sd="0" x="16"/>
        <item h="1" sd="0" x="22"/>
        <item h="1" sd="0" x="11"/>
        <item h="1" sd="0" x="1"/>
        <item h="1" sd="0" x="19"/>
        <item h="1" sd="0" x="20"/>
        <item h="1" sd="0" x="0"/>
        <item h="1" sd="0" x="4"/>
        <item h="1" x="26"/>
        <item h="1" x="23"/>
        <item h="1" x="27"/>
        <item h="1" x="28"/>
        <item h="1" m="1" x="34"/>
        <item h="1" x="29"/>
        <item h="1" x="30"/>
        <item h="1" x="25"/>
        <item h="1" x="32"/>
        <item h="1" x="31"/>
        <item h="1" x="33"/>
        <item t="default" sd="0"/>
      </items>
    </pivotField>
    <pivotField dataField="1" numFmtId="168" showAll="0"/>
    <pivotField showAll="0">
      <items count="68">
        <item x="0"/>
        <item x="1"/>
        <item x="2"/>
        <item x="3"/>
        <item m="1" x="62"/>
        <item m="1" x="63"/>
        <item x="7"/>
        <item m="1" x="64"/>
        <item x="8"/>
        <item x="10"/>
        <item x="11"/>
        <item m="1" x="51"/>
        <item x="13"/>
        <item x="14"/>
        <item x="16"/>
        <item m="1" x="52"/>
        <item x="17"/>
        <item x="18"/>
        <item x="20"/>
        <item m="1" x="53"/>
        <item x="21"/>
        <item x="22"/>
        <item x="24"/>
        <item x="25"/>
        <item m="1" x="54"/>
        <item x="26"/>
        <item x="27"/>
        <item x="28"/>
        <item m="1" x="65"/>
        <item m="1" x="55"/>
        <item x="29"/>
        <item x="30"/>
        <item m="1" x="56"/>
        <item x="35"/>
        <item m="1" x="66"/>
        <item x="50"/>
        <item x="32"/>
        <item x="34"/>
        <item x="33"/>
        <item m="1" x="57"/>
        <item x="36"/>
        <item x="37"/>
        <item m="1" x="58"/>
        <item x="39"/>
        <item m="1" x="59"/>
        <item x="41"/>
        <item x="43"/>
        <item m="1" x="60"/>
        <item m="1" x="61"/>
        <item x="4"/>
        <item x="5"/>
        <item x="6"/>
        <item x="9"/>
        <item x="12"/>
        <item x="15"/>
        <item x="19"/>
        <item x="23"/>
        <item x="31"/>
        <item x="38"/>
        <item x="40"/>
        <item x="42"/>
        <item x="44"/>
        <item x="45"/>
        <item x="46"/>
        <item x="47"/>
        <item x="48"/>
        <item x="49"/>
        <item t="default"/>
      </items>
    </pivotField>
    <pivotField showAll="0"/>
    <pivotField showAll="0"/>
    <pivotField showAll="0" defaultSubtotal="0">
      <items count="14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sd="0" x="10"/>
        <item h="1" sd="0" x="11"/>
        <item h="1" sd="0" x="12"/>
        <item h="1" sd="0" x="13"/>
      </items>
    </pivotField>
    <pivotField showAll="0" defaultSubtotal="0">
      <items count="5">
        <item sd="0" x="0"/>
        <item sd="0" x="1"/>
        <item sd="0" x="2"/>
        <item x="3"/>
        <item x="4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10"/>
    <field x="8"/>
  </rowFields>
  <rowItems count="15">
    <i>
      <x v="2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1"/>
  </colFields>
  <colItems count="2">
    <i>
      <x v="15"/>
    </i>
    <i t="grand">
      <x/>
    </i>
  </colItems>
  <dataFields count="1">
    <dataField name="Sum of Amount " fld="2" baseField="1" baseItem="0" numFmtId="168"/>
  </dataFields>
  <chartFormats count="5">
    <chartFormat chart="21" format="2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7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21" format="278">
      <pivotArea type="data" outline="0" fieldPosition="0">
        <references count="4">
          <reference field="4294967294" count="1" selected="0">
            <x v="0"/>
          </reference>
          <reference field="1" count="1" selected="0">
            <x v="27"/>
          </reference>
          <reference field="8" count="1" selected="0">
            <x v="4"/>
          </reference>
          <reference field="10" count="1" selected="0">
            <x v="3"/>
          </reference>
        </references>
      </pivotArea>
    </chartFormat>
    <chartFormat chart="21" format="279">
      <pivotArea type="data" outline="0" fieldPosition="0">
        <references count="4">
          <reference field="4294967294" count="1" selected="0">
            <x v="0"/>
          </reference>
          <reference field="1" count="1" selected="0">
            <x v="27"/>
          </reference>
          <reference field="8" count="1" selected="0">
            <x v="1"/>
          </reference>
          <reference field="10" count="1" selected="0">
            <x v="3"/>
          </reference>
        </references>
      </pivotArea>
    </chartFormat>
    <chartFormat chart="21" format="280">
      <pivotArea type="data" outline="0" fieldPosition="0">
        <references count="4">
          <reference field="4294967294" count="1" selected="0">
            <x v="0"/>
          </reference>
          <reference field="1" count="1" selected="0">
            <x v="27"/>
          </reference>
          <reference field="8" count="1" selected="0">
            <x v="2"/>
          </reference>
          <reference field="1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EE4EEE-1232-4669-B598-8FF1910D8D4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F106:H127" firstHeaderRow="1" firstDataRow="2" firstDataCol="1"/>
  <pivotFields count="11">
    <pivotField numFmtId="14" showAll="0">
      <items count="90">
        <item x="0"/>
        <item x="1"/>
        <item x="2"/>
        <item x="3"/>
        <item x="4"/>
        <item x="6"/>
        <item x="5"/>
        <item x="7"/>
        <item x="8"/>
        <item x="9"/>
        <item x="10"/>
        <item x="11"/>
        <item x="12"/>
        <item x="14"/>
        <item x="13"/>
        <item x="15"/>
        <item x="17"/>
        <item x="16"/>
        <item x="18"/>
        <item x="19"/>
        <item x="22"/>
        <item x="23"/>
        <item x="24"/>
        <item x="20"/>
        <item x="21"/>
        <item x="25"/>
        <item m="1" x="79"/>
        <item x="26"/>
        <item x="27"/>
        <item x="28"/>
        <item m="1" x="80"/>
        <item x="29"/>
        <item x="30"/>
        <item x="32"/>
        <item x="31"/>
        <item x="33"/>
        <item m="1" x="81"/>
        <item x="34"/>
        <item x="35"/>
        <item x="36"/>
        <item x="37"/>
        <item x="38"/>
        <item m="1" x="82"/>
        <item x="39"/>
        <item x="40"/>
        <item x="41"/>
        <item x="42"/>
        <item m="1" x="83"/>
        <item x="43"/>
        <item x="44"/>
        <item x="45"/>
        <item x="46"/>
        <item m="1" x="84"/>
        <item x="47"/>
        <item x="48"/>
        <item x="49"/>
        <item m="1" x="85"/>
        <item x="52"/>
        <item x="50"/>
        <item x="51"/>
        <item m="1" x="88"/>
        <item m="1" x="86"/>
        <item x="53"/>
        <item x="54"/>
        <item x="55"/>
        <item m="1" x="69"/>
        <item x="59"/>
        <item x="56"/>
        <item x="57"/>
        <item x="58"/>
        <item m="1" x="87"/>
        <item m="1" x="70"/>
        <item m="1" x="71"/>
        <item m="1" x="72"/>
        <item m="1" x="73"/>
        <item m="1" x="74"/>
        <item m="1" x="75"/>
        <item m="1" x="76"/>
        <item m="1" x="77"/>
        <item m="1" x="78"/>
        <item x="63"/>
        <item x="64"/>
        <item x="62"/>
        <item x="60"/>
        <item x="61"/>
        <item x="66"/>
        <item x="65"/>
        <item x="67"/>
        <item x="68"/>
        <item t="default"/>
      </items>
    </pivotField>
    <pivotField showAll="0"/>
    <pivotField numFmtId="168" showAll="0"/>
    <pivotField showAll="0">
      <items count="68">
        <item x="0"/>
        <item x="1"/>
        <item x="2"/>
        <item x="3"/>
        <item m="1" x="62"/>
        <item m="1" x="63"/>
        <item x="7"/>
        <item m="1" x="64"/>
        <item x="8"/>
        <item x="10"/>
        <item x="11"/>
        <item m="1" x="51"/>
        <item x="13"/>
        <item x="14"/>
        <item x="16"/>
        <item m="1" x="52"/>
        <item x="17"/>
        <item x="18"/>
        <item x="20"/>
        <item m="1" x="53"/>
        <item x="21"/>
        <item x="22"/>
        <item x="24"/>
        <item x="25"/>
        <item m="1" x="54"/>
        <item x="26"/>
        <item x="27"/>
        <item x="28"/>
        <item m="1" x="65"/>
        <item m="1" x="55"/>
        <item x="29"/>
        <item x="30"/>
        <item m="1" x="56"/>
        <item x="32"/>
        <item x="33"/>
        <item x="34"/>
        <item x="35"/>
        <item m="1" x="57"/>
        <item x="36"/>
        <item x="37"/>
        <item m="1" x="58"/>
        <item m="1" x="66"/>
        <item x="50"/>
        <item x="39"/>
        <item m="1" x="59"/>
        <item x="41"/>
        <item x="43"/>
        <item m="1" x="60"/>
        <item m="1" x="61"/>
        <item x="4"/>
        <item x="5"/>
        <item x="6"/>
        <item x="9"/>
        <item x="12"/>
        <item x="15"/>
        <item x="19"/>
        <item x="23"/>
        <item x="31"/>
        <item x="38"/>
        <item x="40"/>
        <item x="42"/>
        <item x="44"/>
        <item x="45"/>
        <item x="46"/>
        <item x="47"/>
        <item x="48"/>
        <item x="49"/>
        <item t="default"/>
      </items>
    </pivotField>
    <pivotField axis="axisCol" showAll="0">
      <items count="16">
        <item h="1" x="9"/>
        <item h="1" x="8"/>
        <item h="1" x="0"/>
        <item h="1" x="1"/>
        <item h="1" x="2"/>
        <item h="1" x="6"/>
        <item h="1" m="1" x="13"/>
        <item h="1" m="1" x="14"/>
        <item h="1" x="3"/>
        <item h="1" x="5"/>
        <item h="1" x="7"/>
        <item h="1" x="10"/>
        <item x="4"/>
        <item h="1" x="11"/>
        <item h="1" m="1" x="12"/>
        <item t="default"/>
      </items>
    </pivotField>
    <pivotField dataField="1"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5">
        <item x="0"/>
        <item x="1"/>
        <item x="2"/>
        <item x="3"/>
        <item x="4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x="5"/>
      </items>
    </pivotField>
    <pivotField showAll="0" defaultSubtotal="0">
      <items count="5">
        <item sd="0" x="0"/>
        <item sd="0" x="1"/>
        <item sd="0" x="2"/>
        <item sd="0" x="3"/>
        <item x="4"/>
      </items>
    </pivotField>
  </pivotFields>
  <rowFields count="2">
    <field x="7"/>
    <field x="6"/>
  </rowFields>
  <rowItems count="20"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4"/>
  </colFields>
  <colItems count="2">
    <i>
      <x v="12"/>
    </i>
    <i t="grand">
      <x/>
    </i>
  </colItems>
  <dataFields count="1">
    <dataField name="Sum of Amount" fld="5" baseField="0" baseItem="0"/>
  </dataFields>
  <chartFormats count="6">
    <chartFormat chart="3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3" format="3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0B1BE63-73D5-41C5-BA11-C566F106CBAA}" autoFormatId="16" applyNumberFormats="0" applyBorderFormats="0" applyFontFormats="0" applyPatternFormats="0" applyAlignmentFormats="0" applyWidthHeightFormats="0">
  <queryTableRefresh nextId="4">
    <queryTableFields count="3">
      <queryTableField id="1" name="Indian Rupee" tableColumnId="1"/>
      <queryTableField id="2" name="1.00 INR" tableColumnId="2"/>
      <queryTableField id="3" name="inv. 1.00 INR" tableColumnId="3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CC8C21C-E2C3-48C2-96B1-7A3D07A6980C}" name="Table10" displayName="Table10" ref="B5:G139" totalsRowCount="1">
  <autoFilter ref="B5:G138" xr:uid="{7CC8C21C-E2C3-48C2-96B1-7A3D07A6980C}"/>
  <sortState xmlns:xlrd2="http://schemas.microsoft.com/office/spreadsheetml/2017/richdata2" ref="B6:G125">
    <sortCondition ref="E5:E125"/>
  </sortState>
  <tableColumns count="6">
    <tableColumn id="1" xr3:uid="{F0CE6585-468B-40F4-8102-A3905B2D06C9}" name="Date" totalsRowLabel="Total" dataDxfId="10"/>
    <tableColumn id="2" xr3:uid="{CDAAF612-FB83-4CBB-8ABB-F92403C53BF0}" name="Particular"/>
    <tableColumn id="3" xr3:uid="{555341DA-9702-4CA8-86EC-61B643FC4ACA}" name="Amount " totalsRowFunction="custom" dataDxfId="9" totalsRowDxfId="1">
      <totalsRowFormula>SUM(Table10[[Amount ]])</totalsRowFormula>
    </tableColumn>
    <tableColumn id="4" xr3:uid="{B685CE56-6482-4CEA-82B2-C8D53CB3E3C9}" name="Date "/>
    <tableColumn id="5" xr3:uid="{C768CEF2-9E06-41ED-9871-5EF4F7CABD21}" name="Particular2"/>
    <tableColumn id="6" xr3:uid="{5B8915D0-13FB-4488-A13F-843F17B5B690}" name="Amount" totalsRowFunction="sum" dataDxfId="8" totalsRowDxfId="0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7F1444C-627C-4B2E-958C-A4EB4C3A1196}" name="Table11" displayName="Table11" ref="J5:O24" totalsRowCount="1">
  <autoFilter ref="J5:O23" xr:uid="{D7F1444C-627C-4B2E-958C-A4EB4C3A1196}"/>
  <tableColumns count="6">
    <tableColumn id="1" xr3:uid="{CE92672B-607A-4FCF-B2D9-8FC6C8907603}" name="Liabilities" totalsRowLabel="Total"/>
    <tableColumn id="2" xr3:uid="{AEB88C9E-24B1-4447-B5D9-B53C4953E2E3}" name="Amount" dataDxfId="7"/>
    <tableColumn id="3" xr3:uid="{54FF0A9B-0391-4B12-A551-B440374A4F30}" name="Total" totalsRowFunction="custom" dataDxfId="6" totalsRowDxfId="3">
      <totalsRowFormula>SUM(Table11[Total])</totalsRowFormula>
    </tableColumn>
    <tableColumn id="4" xr3:uid="{23A0F4B3-8A54-42FE-87EA-66E557429E50}" name="Assets"/>
    <tableColumn id="5" xr3:uid="{C4AEECE2-E7E4-447B-929C-B8C16AA66769}" name="Amount " dataDxfId="5"/>
    <tableColumn id="6" xr3:uid="{863602F8-A22E-4494-9D50-0B3F3859BCE3}" name="Total " totalsRowFunction="sum" dataDxfId="4" totalsRowDxfId="2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53B36B-4D17-4505-BD47-02CFF50667FB}" name="Indian_Rupee_Exchange_Rates_Table___Converter" displayName="Indian_Rupee_Exchange_Rates_Table___Converter" ref="B22:D23" tableType="queryTable" totalsRowShown="0">
  <autoFilter ref="B22:D23" xr:uid="{1053B36B-4D17-4505-BD47-02CFF50667FB}"/>
  <tableColumns count="3">
    <tableColumn id="1" xr3:uid="{7682AB02-367D-4386-8700-4A4E7D48A9ED}" uniqueName="1" name="Indian Rupee" queryTableFieldId="1" dataDxfId="16"/>
    <tableColumn id="2" xr3:uid="{45ADF62E-F49E-4455-BE66-64FCCD7DE9E9}" uniqueName="2" name="1.00 INR" queryTableFieldId="2"/>
    <tableColumn id="3" xr3:uid="{754B3DF4-867F-45D7-8E96-56164ED24578}" uniqueName="3" name="inv. 1.00 INR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B8D482-5A68-4424-BA89-997DEA0CBB0C}" name="Table13" displayName="Table13" ref="B5:D10" totalsRowShown="0">
  <autoFilter ref="B5:D10" xr:uid="{F46596A4-4568-4F6B-9B95-315CE72D9124}"/>
  <tableColumns count="3">
    <tableColumn id="1" xr3:uid="{8F854DC3-7A39-4F6F-9C00-0A61CFAEE718}" name="S.r" dataDxfId="15"/>
    <tableColumn id="2" xr3:uid="{92CE83DC-0704-41A5-986D-08670DDD4558}" name="Particular"/>
    <tableColumn id="3" xr3:uid="{E5E2821C-A31E-47CC-99F2-7C3BD1B3DDB0}" name="Amount" dataDxfId="14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D1A8212-20C6-4066-B8BF-E3CD2BB2AAC1}" name="Table14" displayName="Table14" ref="F5:I24" totalsRowShown="0">
  <autoFilter ref="F5:I24" xr:uid="{9453A997-39DA-457C-B4EA-AA137F624E91}"/>
  <tableColumns count="4">
    <tableColumn id="1" xr3:uid="{2B82A861-76FF-4A77-AEC2-1090AF5A5C7B}" name="S.r" dataDxfId="13"/>
    <tableColumn id="4" xr3:uid="{26263528-0817-4FE7-AADA-67CB33DAE428}" name="Date" dataDxfId="12"/>
    <tableColumn id="2" xr3:uid="{24562964-2270-40FF-90ED-A8655D46EF15}" name="Particular"/>
    <tableColumn id="3" xr3:uid="{E42F05FB-005D-4200-9830-5EEAD8A19704}" name="Amount" dataDxfId="11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3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2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S139"/>
  <sheetViews>
    <sheetView tabSelected="1" topLeftCell="B1" zoomScale="85" zoomScaleNormal="85" workbookViewId="0">
      <selection activeCell="S34" sqref="S34"/>
    </sheetView>
  </sheetViews>
  <sheetFormatPr defaultRowHeight="14.4" x14ac:dyDescent="0.3"/>
  <cols>
    <col min="2" max="2" width="8.33203125" bestFit="1" customWidth="1"/>
    <col min="3" max="3" width="32.21875" bestFit="1" customWidth="1"/>
    <col min="4" max="4" width="11.6640625" customWidth="1"/>
    <col min="5" max="5" width="11.88671875" customWidth="1"/>
    <col min="6" max="6" width="22.88671875" customWidth="1"/>
    <col min="7" max="7" width="12.33203125" customWidth="1"/>
    <col min="9" max="9" width="10.44140625" customWidth="1"/>
    <col min="10" max="10" width="16.6640625" bestFit="1" customWidth="1"/>
    <col min="11" max="11" width="11.33203125" customWidth="1"/>
    <col min="12" max="12" width="12.44140625" bestFit="1" customWidth="1"/>
    <col min="13" max="13" width="18.6640625" customWidth="1"/>
    <col min="14" max="14" width="11.5546875" customWidth="1"/>
    <col min="15" max="15" width="10.44140625" bestFit="1" customWidth="1"/>
    <col min="18" max="18" width="10.33203125" bestFit="1" customWidth="1"/>
  </cols>
  <sheetData>
    <row r="3" spans="2:19" x14ac:dyDescent="0.3">
      <c r="D3" s="1" t="s">
        <v>3</v>
      </c>
      <c r="E3" s="1"/>
      <c r="L3" t="s">
        <v>11</v>
      </c>
    </row>
    <row r="4" spans="2:19" x14ac:dyDescent="0.3">
      <c r="B4" s="2" t="s">
        <v>4</v>
      </c>
      <c r="G4" s="3" t="s">
        <v>5</v>
      </c>
      <c r="S4" t="s">
        <v>113</v>
      </c>
    </row>
    <row r="5" spans="2:19" x14ac:dyDescent="0.3">
      <c r="B5" t="s">
        <v>0</v>
      </c>
      <c r="C5" t="s">
        <v>1</v>
      </c>
      <c r="D5" t="s">
        <v>107</v>
      </c>
      <c r="E5" t="s">
        <v>105</v>
      </c>
      <c r="F5" t="s">
        <v>106</v>
      </c>
      <c r="G5" t="s">
        <v>2</v>
      </c>
      <c r="J5" t="s">
        <v>13</v>
      </c>
      <c r="K5" t="s">
        <v>2</v>
      </c>
      <c r="L5" t="s">
        <v>6</v>
      </c>
      <c r="M5" t="s">
        <v>12</v>
      </c>
      <c r="N5" t="s">
        <v>107</v>
      </c>
      <c r="O5" t="s">
        <v>108</v>
      </c>
    </row>
    <row r="6" spans="2:19" ht="19.2" customHeight="1" x14ac:dyDescent="0.3">
      <c r="B6" s="19">
        <v>45283</v>
      </c>
      <c r="C6" t="s">
        <v>23</v>
      </c>
      <c r="D6" s="24">
        <v>10689.58</v>
      </c>
      <c r="E6" s="19">
        <v>44927</v>
      </c>
      <c r="F6" t="s">
        <v>84</v>
      </c>
      <c r="G6" s="24">
        <v>97.88</v>
      </c>
      <c r="J6" s="5" t="s">
        <v>19</v>
      </c>
      <c r="K6" s="4"/>
      <c r="L6" s="4"/>
      <c r="M6" s="5" t="s">
        <v>17</v>
      </c>
      <c r="N6" s="4"/>
      <c r="O6" s="4"/>
    </row>
    <row r="7" spans="2:19" ht="15" thickBot="1" x14ac:dyDescent="0.35">
      <c r="B7" s="19">
        <v>45286</v>
      </c>
      <c r="C7" t="s">
        <v>42</v>
      </c>
      <c r="D7" s="24">
        <v>45</v>
      </c>
      <c r="E7" s="19">
        <v>45231</v>
      </c>
      <c r="F7" t="s">
        <v>83</v>
      </c>
      <c r="G7" s="24">
        <v>104</v>
      </c>
      <c r="J7" t="s">
        <v>76</v>
      </c>
      <c r="K7" s="4"/>
      <c r="L7" s="6">
        <v>4529.1899999999996</v>
      </c>
      <c r="M7" t="s">
        <v>14</v>
      </c>
      <c r="N7" s="7">
        <v>0</v>
      </c>
      <c r="O7" s="6">
        <f>SUM(Table11[[#This Row],[Amount ]])</f>
        <v>0</v>
      </c>
    </row>
    <row r="8" spans="2:19" x14ac:dyDescent="0.3">
      <c r="B8" s="19">
        <v>45312</v>
      </c>
      <c r="C8" t="s">
        <v>8</v>
      </c>
      <c r="D8" s="24">
        <v>2.5</v>
      </c>
      <c r="E8" s="19">
        <v>45288</v>
      </c>
      <c r="F8" t="s">
        <v>82</v>
      </c>
      <c r="G8" s="24">
        <v>237.02</v>
      </c>
      <c r="K8" s="4"/>
      <c r="L8" s="4"/>
      <c r="M8" s="5" t="s">
        <v>15</v>
      </c>
      <c r="N8" s="4"/>
      <c r="O8" s="6"/>
    </row>
    <row r="9" spans="2:19" x14ac:dyDescent="0.3">
      <c r="B9" s="19">
        <v>45322</v>
      </c>
      <c r="C9" t="s">
        <v>86</v>
      </c>
      <c r="D9" s="24">
        <v>10.8</v>
      </c>
      <c r="E9" s="19">
        <v>45289</v>
      </c>
      <c r="F9" t="s">
        <v>57</v>
      </c>
      <c r="G9" s="24">
        <v>5</v>
      </c>
      <c r="K9" s="4"/>
      <c r="L9" s="6"/>
      <c r="M9" t="s">
        <v>24</v>
      </c>
      <c r="N9" s="4">
        <v>335.4</v>
      </c>
      <c r="O9" s="6"/>
    </row>
    <row r="10" spans="2:19" x14ac:dyDescent="0.3">
      <c r="B10" s="19">
        <v>45322</v>
      </c>
      <c r="C10" t="s">
        <v>10</v>
      </c>
      <c r="D10" s="24">
        <v>22.6</v>
      </c>
      <c r="E10" s="19">
        <v>45322</v>
      </c>
      <c r="F10" t="s">
        <v>58</v>
      </c>
      <c r="G10" s="24">
        <v>680</v>
      </c>
      <c r="J10" s="5" t="s">
        <v>21</v>
      </c>
      <c r="K10" s="4"/>
      <c r="L10" s="4"/>
      <c r="M10" t="s">
        <v>16</v>
      </c>
      <c r="N10" s="4">
        <v>1106.21</v>
      </c>
      <c r="O10" s="4"/>
    </row>
    <row r="11" spans="2:19" x14ac:dyDescent="0.3">
      <c r="B11" s="19">
        <v>45332</v>
      </c>
      <c r="C11" t="s">
        <v>54</v>
      </c>
      <c r="D11" s="24">
        <v>11</v>
      </c>
      <c r="E11" s="19">
        <v>45350</v>
      </c>
      <c r="F11" t="s">
        <v>58</v>
      </c>
      <c r="G11" s="24">
        <v>690.52</v>
      </c>
      <c r="J11" t="str">
        <f>IF(Table11[[#This Row],[Total]]&gt;=0, "Net Profit", "Net Loss")</f>
        <v>Net Loss</v>
      </c>
      <c r="K11" s="4"/>
      <c r="L11" s="6">
        <f>Table10[[#Totals],[Amount]]-Table10[[#Totals],[Amount ]]</f>
        <v>-4157.7139999999854</v>
      </c>
      <c r="M11" t="s">
        <v>134</v>
      </c>
      <c r="N11" s="4">
        <v>3004.21</v>
      </c>
      <c r="O11" s="4"/>
    </row>
    <row r="12" spans="2:19" ht="15" thickBot="1" x14ac:dyDescent="0.35">
      <c r="B12" s="19">
        <v>45344</v>
      </c>
      <c r="C12" t="s">
        <v>8</v>
      </c>
      <c r="D12" s="24">
        <v>5</v>
      </c>
      <c r="E12" s="19">
        <v>45382</v>
      </c>
      <c r="F12" t="s">
        <v>58</v>
      </c>
      <c r="G12" s="24">
        <v>540</v>
      </c>
      <c r="J12" s="5"/>
      <c r="K12" s="4"/>
      <c r="L12" s="4"/>
      <c r="M12" t="s">
        <v>68</v>
      </c>
      <c r="N12" s="7">
        <v>105.13</v>
      </c>
      <c r="O12" s="4"/>
    </row>
    <row r="13" spans="2:19" x14ac:dyDescent="0.3">
      <c r="B13" s="19">
        <v>45340</v>
      </c>
      <c r="C13" t="s">
        <v>22</v>
      </c>
      <c r="D13" s="24">
        <v>650.63</v>
      </c>
      <c r="E13" s="19">
        <v>45387</v>
      </c>
      <c r="F13" t="s">
        <v>7</v>
      </c>
      <c r="G13" s="24">
        <v>200</v>
      </c>
      <c r="J13" s="5" t="s">
        <v>26</v>
      </c>
      <c r="K13" s="4"/>
      <c r="L13" s="6"/>
      <c r="N13" s="4"/>
      <c r="O13" s="6">
        <f>SUM(N9:N15)</f>
        <v>4550.95</v>
      </c>
    </row>
    <row r="14" spans="2:19" x14ac:dyDescent="0.3">
      <c r="B14" s="19">
        <v>45351</v>
      </c>
      <c r="C14" t="s">
        <v>86</v>
      </c>
      <c r="D14" s="24">
        <v>10.79</v>
      </c>
      <c r="E14" s="19">
        <v>45411</v>
      </c>
      <c r="F14" t="s">
        <v>59</v>
      </c>
      <c r="G14" s="24">
        <v>106.36</v>
      </c>
      <c r="J14" t="s">
        <v>20</v>
      </c>
      <c r="K14" s="4">
        <v>0</v>
      </c>
      <c r="L14" s="4"/>
      <c r="N14" s="4"/>
      <c r="O14" s="4"/>
    </row>
    <row r="15" spans="2:19" x14ac:dyDescent="0.3">
      <c r="B15" s="19">
        <v>45351</v>
      </c>
      <c r="C15" t="s">
        <v>10</v>
      </c>
      <c r="D15" s="24">
        <v>70</v>
      </c>
      <c r="E15" s="19">
        <v>45412</v>
      </c>
      <c r="F15" t="s">
        <v>58</v>
      </c>
      <c r="G15" s="24">
        <v>650</v>
      </c>
      <c r="J15" t="s">
        <v>18</v>
      </c>
      <c r="K15" s="4">
        <v>0</v>
      </c>
      <c r="L15" s="4"/>
      <c r="N15" s="4"/>
      <c r="O15" s="4"/>
    </row>
    <row r="16" spans="2:19" x14ac:dyDescent="0.3">
      <c r="B16" s="19">
        <v>45373</v>
      </c>
      <c r="C16" t="s">
        <v>8</v>
      </c>
      <c r="D16" s="24">
        <v>5</v>
      </c>
      <c r="E16" s="19">
        <v>45425</v>
      </c>
      <c r="F16" t="s">
        <v>59</v>
      </c>
      <c r="G16" s="24">
        <v>291.48</v>
      </c>
      <c r="J16" t="s">
        <v>18</v>
      </c>
      <c r="K16" s="14">
        <v>0</v>
      </c>
      <c r="L16" s="4"/>
      <c r="M16" s="5" t="s">
        <v>78</v>
      </c>
      <c r="N16" s="4"/>
      <c r="O16" s="4"/>
    </row>
    <row r="17" spans="2:18" ht="15" thickBot="1" x14ac:dyDescent="0.35">
      <c r="B17" s="19">
        <v>45382</v>
      </c>
      <c r="C17" t="s">
        <v>86</v>
      </c>
      <c r="D17" s="24">
        <v>21.88</v>
      </c>
      <c r="E17" s="19">
        <v>45440</v>
      </c>
      <c r="F17" t="s">
        <v>59</v>
      </c>
      <c r="G17" s="24">
        <v>444.1</v>
      </c>
      <c r="J17" t="s">
        <v>72</v>
      </c>
      <c r="K17" s="7" cm="1">
        <f t="array" ref="K17" xml:space="preserve"> (500000) * Indian_Rupee_Exchange_Rates_Table___Converter[1.00 INR]</f>
        <v>4450.5</v>
      </c>
      <c r="L17" s="6">
        <v>4647.3599999999997</v>
      </c>
      <c r="M17" s="15" t="s">
        <v>79</v>
      </c>
      <c r="N17" s="4">
        <v>92.95</v>
      </c>
      <c r="O17" s="4"/>
      <c r="R17" s="18"/>
    </row>
    <row r="18" spans="2:18" ht="15" thickBot="1" x14ac:dyDescent="0.35">
      <c r="B18" s="19">
        <v>45382</v>
      </c>
      <c r="C18" t="s">
        <v>10</v>
      </c>
      <c r="D18" s="24">
        <v>43.2</v>
      </c>
      <c r="E18" s="19">
        <v>45443</v>
      </c>
      <c r="F18" t="s">
        <v>58</v>
      </c>
      <c r="G18" s="24">
        <v>644</v>
      </c>
      <c r="K18" s="4"/>
      <c r="L18" s="4"/>
      <c r="M18" s="15" t="s">
        <v>85</v>
      </c>
      <c r="N18" s="7">
        <v>304.94</v>
      </c>
      <c r="O18" s="6">
        <f>SUM(N17:N18)</f>
        <v>397.89</v>
      </c>
    </row>
    <row r="19" spans="2:18" x14ac:dyDescent="0.3">
      <c r="B19" s="19">
        <v>45392</v>
      </c>
      <c r="C19" t="s">
        <v>9</v>
      </c>
      <c r="D19" s="24">
        <v>15.3</v>
      </c>
      <c r="E19" s="19">
        <v>45453</v>
      </c>
      <c r="F19" t="s">
        <v>59</v>
      </c>
      <c r="G19" s="24">
        <v>375.48</v>
      </c>
      <c r="K19" s="4"/>
      <c r="L19" s="4"/>
      <c r="N19" s="4"/>
      <c r="O19" s="6"/>
      <c r="Q19" t="s">
        <v>128</v>
      </c>
    </row>
    <row r="20" spans="2:18" x14ac:dyDescent="0.3">
      <c r="B20" s="19">
        <v>45404</v>
      </c>
      <c r="C20" t="s">
        <v>42</v>
      </c>
      <c r="D20" s="24">
        <v>5.5</v>
      </c>
      <c r="E20" s="19">
        <v>45467</v>
      </c>
      <c r="F20" t="s">
        <v>59</v>
      </c>
      <c r="G20" s="24">
        <v>415.32</v>
      </c>
      <c r="K20" s="4"/>
      <c r="L20" s="4"/>
      <c r="M20" s="5" t="s">
        <v>139</v>
      </c>
      <c r="N20" s="4"/>
      <c r="O20" s="6"/>
    </row>
    <row r="21" spans="2:18" x14ac:dyDescent="0.3">
      <c r="B21" s="19">
        <v>45404</v>
      </c>
      <c r="C21" t="s">
        <v>8</v>
      </c>
      <c r="D21" s="24">
        <v>5</v>
      </c>
      <c r="E21" s="19">
        <v>45473</v>
      </c>
      <c r="F21" t="s">
        <v>58</v>
      </c>
      <c r="G21" s="24">
        <v>385</v>
      </c>
      <c r="K21" s="4"/>
      <c r="L21" s="4"/>
      <c r="M21" t="s">
        <v>140</v>
      </c>
      <c r="N21" s="4"/>
      <c r="O21" s="6">
        <v>70</v>
      </c>
    </row>
    <row r="22" spans="2:18" x14ac:dyDescent="0.3">
      <c r="B22" s="19">
        <v>45404</v>
      </c>
      <c r="C22" t="s">
        <v>42</v>
      </c>
      <c r="D22" s="24">
        <v>14</v>
      </c>
      <c r="E22" s="19">
        <v>45474</v>
      </c>
      <c r="F22" t="s">
        <v>61</v>
      </c>
      <c r="G22" s="24">
        <v>0.12</v>
      </c>
      <c r="K22" s="4"/>
      <c r="L22" s="4"/>
      <c r="M22" s="4"/>
      <c r="N22" s="4"/>
      <c r="O22" s="6"/>
      <c r="Q22" t="s">
        <v>127</v>
      </c>
    </row>
    <row r="23" spans="2:18" x14ac:dyDescent="0.3">
      <c r="B23" s="19">
        <v>45408</v>
      </c>
      <c r="C23" t="s">
        <v>73</v>
      </c>
      <c r="D23" s="24">
        <v>118.97</v>
      </c>
      <c r="E23" s="19">
        <v>45481</v>
      </c>
      <c r="F23" t="s">
        <v>59</v>
      </c>
      <c r="G23" s="24">
        <v>425.46</v>
      </c>
      <c r="K23" s="4"/>
      <c r="L23" s="4"/>
      <c r="N23" s="4"/>
      <c r="O23" s="4"/>
    </row>
    <row r="24" spans="2:18" x14ac:dyDescent="0.3">
      <c r="B24" s="19">
        <v>45408</v>
      </c>
      <c r="C24" t="s">
        <v>74</v>
      </c>
      <c r="D24" s="24">
        <v>32.53</v>
      </c>
      <c r="E24" s="19">
        <v>45495</v>
      </c>
      <c r="F24" t="s">
        <v>59</v>
      </c>
      <c r="G24" s="24">
        <v>426.04</v>
      </c>
      <c r="J24" t="s">
        <v>6</v>
      </c>
      <c r="L24" s="4">
        <f>SUM(Table11[Total])</f>
        <v>5018.8360000000139</v>
      </c>
      <c r="O24" s="4">
        <f>SUBTOTAL(109,Table11[[Total ]])</f>
        <v>5018.84</v>
      </c>
      <c r="Q24" t="s">
        <v>129</v>
      </c>
    </row>
    <row r="25" spans="2:18" x14ac:dyDescent="0.3">
      <c r="B25" s="19">
        <v>45412</v>
      </c>
      <c r="C25" t="s">
        <v>10</v>
      </c>
      <c r="D25" s="24">
        <v>43</v>
      </c>
      <c r="E25" s="19">
        <v>45504</v>
      </c>
      <c r="F25" t="s">
        <v>58</v>
      </c>
      <c r="G25" s="24">
        <v>525</v>
      </c>
      <c r="J25" s="5"/>
      <c r="K25" s="6"/>
      <c r="L25" s="6"/>
      <c r="M25" s="5"/>
      <c r="N25" s="6"/>
      <c r="O25" s="6"/>
    </row>
    <row r="26" spans="2:18" x14ac:dyDescent="0.3">
      <c r="B26" s="19">
        <v>45410</v>
      </c>
      <c r="C26" t="s">
        <v>51</v>
      </c>
      <c r="D26" s="24">
        <v>64</v>
      </c>
      <c r="E26" s="19">
        <v>45505</v>
      </c>
      <c r="F26" t="s">
        <v>61</v>
      </c>
      <c r="G26" s="24">
        <v>0.13</v>
      </c>
    </row>
    <row r="27" spans="2:18" x14ac:dyDescent="0.3">
      <c r="B27" s="19">
        <v>45412</v>
      </c>
      <c r="C27" t="s">
        <v>86</v>
      </c>
      <c r="D27" s="24">
        <v>18.98</v>
      </c>
      <c r="E27" s="19">
        <v>45509</v>
      </c>
      <c r="F27" t="s">
        <v>59</v>
      </c>
      <c r="G27" s="24">
        <v>277.85000000000002</v>
      </c>
    </row>
    <row r="28" spans="2:18" x14ac:dyDescent="0.3">
      <c r="B28" s="19">
        <v>45413</v>
      </c>
      <c r="C28" t="s">
        <v>52</v>
      </c>
      <c r="D28" s="24">
        <v>3.05</v>
      </c>
      <c r="E28" s="19">
        <v>45523</v>
      </c>
      <c r="F28" t="s">
        <v>59</v>
      </c>
      <c r="G28" s="24">
        <v>370.47</v>
      </c>
    </row>
    <row r="29" spans="2:18" x14ac:dyDescent="0.3">
      <c r="B29" s="19">
        <v>45433</v>
      </c>
      <c r="C29" t="s">
        <v>8</v>
      </c>
      <c r="D29" s="24">
        <v>5</v>
      </c>
      <c r="E29" s="19">
        <v>45535</v>
      </c>
      <c r="F29" t="s">
        <v>58</v>
      </c>
      <c r="G29" s="24">
        <v>896</v>
      </c>
    </row>
    <row r="30" spans="2:18" x14ac:dyDescent="0.3">
      <c r="B30" s="19">
        <v>45426</v>
      </c>
      <c r="C30" t="s">
        <v>53</v>
      </c>
      <c r="D30" s="24">
        <v>34</v>
      </c>
      <c r="E30" s="19">
        <v>45536</v>
      </c>
      <c r="F30" t="s">
        <v>61</v>
      </c>
      <c r="G30" s="24">
        <v>0.12</v>
      </c>
    </row>
    <row r="31" spans="2:18" x14ac:dyDescent="0.3">
      <c r="B31" s="19">
        <v>45426</v>
      </c>
      <c r="C31" t="s">
        <v>55</v>
      </c>
      <c r="D31" s="24">
        <v>7</v>
      </c>
      <c r="E31" s="19">
        <v>45537</v>
      </c>
      <c r="F31" t="s">
        <v>59</v>
      </c>
      <c r="G31" s="24">
        <v>239.76</v>
      </c>
      <c r="I31" s="4"/>
    </row>
    <row r="32" spans="2:18" x14ac:dyDescent="0.3">
      <c r="B32" s="19">
        <v>45441</v>
      </c>
      <c r="C32" t="s">
        <v>54</v>
      </c>
      <c r="D32" s="24">
        <v>12</v>
      </c>
      <c r="E32" s="19">
        <v>45551</v>
      </c>
      <c r="F32" t="s">
        <v>59</v>
      </c>
      <c r="G32" s="24">
        <v>510.52</v>
      </c>
    </row>
    <row r="33" spans="2:7" x14ac:dyDescent="0.3">
      <c r="B33" s="19">
        <v>45443</v>
      </c>
      <c r="C33" t="s">
        <v>10</v>
      </c>
      <c r="D33" s="24">
        <v>84.1</v>
      </c>
      <c r="E33" s="19">
        <v>45565</v>
      </c>
      <c r="F33" t="s">
        <v>59</v>
      </c>
      <c r="G33" s="24">
        <v>935.28</v>
      </c>
    </row>
    <row r="34" spans="2:7" x14ac:dyDescent="0.3">
      <c r="B34" s="19">
        <v>45469</v>
      </c>
      <c r="C34" t="s">
        <v>64</v>
      </c>
      <c r="D34" s="24">
        <v>300</v>
      </c>
      <c r="E34" s="19">
        <v>45565</v>
      </c>
      <c r="F34" t="s">
        <v>58</v>
      </c>
      <c r="G34" s="24">
        <v>340</v>
      </c>
    </row>
    <row r="35" spans="2:7" x14ac:dyDescent="0.3">
      <c r="B35" s="21">
        <v>45443</v>
      </c>
      <c r="C35" s="13" t="s">
        <v>86</v>
      </c>
      <c r="D35" s="24">
        <v>27.39</v>
      </c>
      <c r="E35" s="19">
        <v>45566</v>
      </c>
      <c r="F35" t="s">
        <v>61</v>
      </c>
      <c r="G35" s="24">
        <v>0.12</v>
      </c>
    </row>
    <row r="36" spans="2:7" x14ac:dyDescent="0.3">
      <c r="B36" s="21">
        <v>45473</v>
      </c>
      <c r="C36" s="13" t="s">
        <v>64</v>
      </c>
      <c r="D36" s="24">
        <v>308</v>
      </c>
      <c r="E36" s="19">
        <v>45566</v>
      </c>
      <c r="F36" t="s">
        <v>114</v>
      </c>
      <c r="G36" s="24">
        <v>0.9</v>
      </c>
    </row>
    <row r="37" spans="2:7" x14ac:dyDescent="0.3">
      <c r="B37" s="21">
        <v>45444</v>
      </c>
      <c r="C37" s="13" t="s">
        <v>25</v>
      </c>
      <c r="D37" s="24">
        <v>6385</v>
      </c>
      <c r="E37" s="19">
        <v>45579</v>
      </c>
      <c r="F37" t="s">
        <v>59</v>
      </c>
      <c r="G37" s="24">
        <v>463.9</v>
      </c>
    </row>
    <row r="38" spans="2:7" x14ac:dyDescent="0.3">
      <c r="B38" s="21">
        <v>45446</v>
      </c>
      <c r="C38" s="13" t="s">
        <v>56</v>
      </c>
      <c r="D38" s="24">
        <v>3.05</v>
      </c>
      <c r="E38" s="19">
        <v>45593</v>
      </c>
      <c r="F38" t="s">
        <v>59</v>
      </c>
      <c r="G38" s="24">
        <v>348.57</v>
      </c>
    </row>
    <row r="39" spans="2:7" x14ac:dyDescent="0.3">
      <c r="B39" s="19">
        <v>45460</v>
      </c>
      <c r="C39" t="s">
        <v>8</v>
      </c>
      <c r="D39" s="24">
        <v>5</v>
      </c>
      <c r="E39" s="19">
        <v>45596</v>
      </c>
      <c r="F39" t="s">
        <v>58</v>
      </c>
      <c r="G39" s="24">
        <v>416.5</v>
      </c>
    </row>
    <row r="40" spans="2:7" x14ac:dyDescent="0.3">
      <c r="B40" s="19">
        <v>45473</v>
      </c>
      <c r="C40" t="s">
        <v>10</v>
      </c>
      <c r="D40" s="24">
        <v>72.599999999999994</v>
      </c>
      <c r="E40" s="19">
        <v>45607</v>
      </c>
      <c r="F40" t="s">
        <v>59</v>
      </c>
      <c r="G40" s="24">
        <v>430.82</v>
      </c>
    </row>
    <row r="41" spans="2:7" x14ac:dyDescent="0.3">
      <c r="B41" s="19">
        <v>45476</v>
      </c>
      <c r="C41" t="s">
        <v>8</v>
      </c>
      <c r="D41" s="24">
        <v>5</v>
      </c>
      <c r="E41" s="19">
        <v>45617</v>
      </c>
      <c r="F41" t="s">
        <v>111</v>
      </c>
      <c r="G41" s="24">
        <v>184</v>
      </c>
    </row>
    <row r="42" spans="2:7" x14ac:dyDescent="0.3">
      <c r="B42" s="19">
        <v>45473</v>
      </c>
      <c r="C42" t="s">
        <v>86</v>
      </c>
      <c r="D42" s="24">
        <v>40.25</v>
      </c>
      <c r="E42" s="19">
        <v>45621</v>
      </c>
      <c r="F42" t="s">
        <v>59</v>
      </c>
      <c r="G42" s="24">
        <v>792.51</v>
      </c>
    </row>
    <row r="43" spans="2:7" x14ac:dyDescent="0.3">
      <c r="B43" s="21">
        <v>45502</v>
      </c>
      <c r="C43" s="13" t="s">
        <v>67</v>
      </c>
      <c r="D43" s="24">
        <v>50</v>
      </c>
      <c r="E43" s="19">
        <v>45626</v>
      </c>
      <c r="F43" t="s">
        <v>58</v>
      </c>
      <c r="G43" s="24">
        <v>252</v>
      </c>
    </row>
    <row r="44" spans="2:7" x14ac:dyDescent="0.3">
      <c r="B44" s="19">
        <v>45503</v>
      </c>
      <c r="C44" t="s">
        <v>75</v>
      </c>
      <c r="D44" s="24">
        <v>92.95</v>
      </c>
      <c r="E44" s="19">
        <v>45645</v>
      </c>
      <c r="F44" t="s">
        <v>111</v>
      </c>
      <c r="G44" s="24">
        <v>776.26</v>
      </c>
    </row>
    <row r="45" spans="2:7" x14ac:dyDescent="0.3">
      <c r="B45" s="19">
        <v>45504</v>
      </c>
      <c r="C45" t="s">
        <v>86</v>
      </c>
      <c r="D45" s="24">
        <v>54.05</v>
      </c>
      <c r="E45" s="19">
        <v>45651</v>
      </c>
      <c r="F45" t="s">
        <v>121</v>
      </c>
      <c r="G45" s="24">
        <v>100</v>
      </c>
    </row>
    <row r="46" spans="2:7" x14ac:dyDescent="0.3">
      <c r="B46" s="19">
        <v>45504</v>
      </c>
      <c r="C46" t="s">
        <v>10</v>
      </c>
      <c r="D46" s="24">
        <v>66.400000000000006</v>
      </c>
      <c r="E46" s="19">
        <v>45657</v>
      </c>
      <c r="F46" t="s">
        <v>58</v>
      </c>
      <c r="G46" s="24">
        <v>161</v>
      </c>
    </row>
    <row r="47" spans="2:7" x14ac:dyDescent="0.3">
      <c r="B47" s="19">
        <v>45504</v>
      </c>
      <c r="C47" t="s">
        <v>64</v>
      </c>
      <c r="D47" s="24">
        <v>318</v>
      </c>
      <c r="E47" s="19">
        <v>45673</v>
      </c>
      <c r="F47" t="s">
        <v>111</v>
      </c>
      <c r="G47" s="24">
        <v>1384.92</v>
      </c>
    </row>
    <row r="48" spans="2:7" x14ac:dyDescent="0.3">
      <c r="B48" s="19">
        <v>45509</v>
      </c>
      <c r="C48" t="s">
        <v>8</v>
      </c>
      <c r="D48" s="24">
        <v>5</v>
      </c>
      <c r="E48" s="19">
        <v>45688</v>
      </c>
      <c r="F48" t="s">
        <v>58</v>
      </c>
      <c r="G48" s="24">
        <v>344</v>
      </c>
    </row>
    <row r="49" spans="2:7" x14ac:dyDescent="0.3">
      <c r="B49" s="19">
        <v>45526</v>
      </c>
      <c r="C49" t="s">
        <v>65</v>
      </c>
      <c r="D49" s="24">
        <v>14.25</v>
      </c>
      <c r="E49" s="19">
        <v>45701</v>
      </c>
      <c r="F49" t="s">
        <v>111</v>
      </c>
      <c r="G49" s="24">
        <v>972.51</v>
      </c>
    </row>
    <row r="50" spans="2:7" x14ac:dyDescent="0.3">
      <c r="B50" s="19">
        <v>45535</v>
      </c>
      <c r="C50" t="s">
        <v>86</v>
      </c>
      <c r="D50" s="24">
        <v>54.03</v>
      </c>
      <c r="E50" s="19">
        <v>45716</v>
      </c>
      <c r="F50" t="s">
        <v>58</v>
      </c>
      <c r="G50" s="24">
        <v>248</v>
      </c>
    </row>
    <row r="51" spans="2:7" x14ac:dyDescent="0.3">
      <c r="B51" s="19">
        <v>45531</v>
      </c>
      <c r="C51" t="s">
        <v>66</v>
      </c>
      <c r="D51" s="24">
        <v>56.99</v>
      </c>
      <c r="E51" s="19">
        <v>45729</v>
      </c>
      <c r="F51" t="s">
        <v>111</v>
      </c>
      <c r="G51" s="24">
        <v>974.29</v>
      </c>
    </row>
    <row r="52" spans="2:7" x14ac:dyDescent="0.3">
      <c r="B52" s="19">
        <v>45535</v>
      </c>
      <c r="C52" t="s">
        <v>10</v>
      </c>
      <c r="D52" s="24">
        <v>58</v>
      </c>
      <c r="E52" s="19">
        <v>45747</v>
      </c>
      <c r="F52" t="s">
        <v>58</v>
      </c>
      <c r="G52" s="24">
        <v>688</v>
      </c>
    </row>
    <row r="53" spans="2:7" x14ac:dyDescent="0.3">
      <c r="B53" s="19">
        <v>45535</v>
      </c>
      <c r="C53" t="s">
        <v>64</v>
      </c>
      <c r="D53" s="24">
        <v>350</v>
      </c>
      <c r="E53" s="19">
        <v>45757</v>
      </c>
      <c r="F53" t="s">
        <v>111</v>
      </c>
      <c r="G53" s="24">
        <v>993.08</v>
      </c>
    </row>
    <row r="54" spans="2:7" x14ac:dyDescent="0.3">
      <c r="B54" s="19">
        <v>45537</v>
      </c>
      <c r="C54" t="s">
        <v>8</v>
      </c>
      <c r="D54" s="24">
        <v>5</v>
      </c>
      <c r="E54" s="19">
        <v>45777</v>
      </c>
      <c r="F54" t="s">
        <v>58</v>
      </c>
      <c r="G54" s="24">
        <v>568</v>
      </c>
    </row>
    <row r="55" spans="2:7" x14ac:dyDescent="0.3">
      <c r="B55" s="19">
        <v>45546</v>
      </c>
      <c r="C55" t="s">
        <v>54</v>
      </c>
      <c r="D55" s="24">
        <v>12</v>
      </c>
      <c r="E55" s="19">
        <v>45785</v>
      </c>
      <c r="F55" t="s">
        <v>111</v>
      </c>
      <c r="G55" s="24">
        <v>988.66</v>
      </c>
    </row>
    <row r="56" spans="2:7" x14ac:dyDescent="0.3">
      <c r="B56" s="21">
        <v>45547</v>
      </c>
      <c r="C56" s="13" t="s">
        <v>77</v>
      </c>
      <c r="D56" s="24">
        <v>1429.18</v>
      </c>
      <c r="E56" s="19">
        <v>45808</v>
      </c>
      <c r="F56" t="s">
        <v>58</v>
      </c>
      <c r="G56" s="24">
        <v>616</v>
      </c>
    </row>
    <row r="57" spans="2:7" x14ac:dyDescent="0.3">
      <c r="B57" s="21">
        <v>45559</v>
      </c>
      <c r="C57" s="13" t="s">
        <v>8</v>
      </c>
      <c r="D57" s="24">
        <v>5</v>
      </c>
      <c r="E57" s="19">
        <v>45813</v>
      </c>
      <c r="F57" t="s">
        <v>111</v>
      </c>
      <c r="G57" s="24">
        <v>1226.6600000000001</v>
      </c>
    </row>
    <row r="58" spans="2:7" x14ac:dyDescent="0.3">
      <c r="B58" s="21">
        <v>45565</v>
      </c>
      <c r="C58" s="13" t="s">
        <v>10</v>
      </c>
      <c r="D58" s="24">
        <v>238.72</v>
      </c>
      <c r="E58" s="19">
        <v>45810</v>
      </c>
      <c r="F58" t="s">
        <v>137</v>
      </c>
      <c r="G58" s="24">
        <v>463.05</v>
      </c>
    </row>
    <row r="59" spans="2:7" x14ac:dyDescent="0.3">
      <c r="B59" s="21">
        <v>45565</v>
      </c>
      <c r="C59" s="13" t="s">
        <v>86</v>
      </c>
      <c r="D59" s="24">
        <v>65.52</v>
      </c>
      <c r="E59" s="19">
        <v>45838</v>
      </c>
      <c r="F59" t="s">
        <v>58</v>
      </c>
      <c r="G59" s="24">
        <v>464</v>
      </c>
    </row>
    <row r="60" spans="2:7" x14ac:dyDescent="0.3">
      <c r="B60" s="19">
        <v>45565</v>
      </c>
      <c r="C60" t="s">
        <v>64</v>
      </c>
      <c r="D60" s="24">
        <v>324</v>
      </c>
      <c r="E60" s="19">
        <v>45841</v>
      </c>
      <c r="F60" t="s">
        <v>111</v>
      </c>
      <c r="G60" s="24">
        <v>1045.5</v>
      </c>
    </row>
    <row r="61" spans="2:7" x14ac:dyDescent="0.3">
      <c r="B61" s="19">
        <v>45566</v>
      </c>
      <c r="C61" t="s">
        <v>80</v>
      </c>
      <c r="D61" s="24">
        <v>1.99</v>
      </c>
      <c r="E61" s="19"/>
      <c r="G61" s="24"/>
    </row>
    <row r="62" spans="2:7" x14ac:dyDescent="0.3">
      <c r="B62" s="19">
        <v>45573</v>
      </c>
      <c r="C62" t="s">
        <v>123</v>
      </c>
      <c r="D62" s="24">
        <v>100</v>
      </c>
      <c r="G62" s="24"/>
    </row>
    <row r="63" spans="2:7" x14ac:dyDescent="0.3">
      <c r="B63" s="19">
        <v>45579</v>
      </c>
      <c r="C63" t="s">
        <v>8</v>
      </c>
      <c r="D63" s="24">
        <v>5</v>
      </c>
      <c r="E63" s="19"/>
      <c r="G63" s="24"/>
    </row>
    <row r="64" spans="2:7" x14ac:dyDescent="0.3">
      <c r="B64" s="19">
        <v>45581</v>
      </c>
      <c r="C64" t="s">
        <v>81</v>
      </c>
      <c r="D64" s="24">
        <v>23</v>
      </c>
      <c r="E64" s="19"/>
      <c r="G64" s="24"/>
    </row>
    <row r="65" spans="2:7" x14ac:dyDescent="0.3">
      <c r="B65" s="19">
        <v>45596</v>
      </c>
      <c r="C65" t="s">
        <v>10</v>
      </c>
      <c r="D65" s="24">
        <v>254.6</v>
      </c>
      <c r="E65" s="19"/>
      <c r="G65" s="24"/>
    </row>
    <row r="66" spans="2:7" x14ac:dyDescent="0.3">
      <c r="B66" s="19">
        <v>45596</v>
      </c>
      <c r="C66" t="s">
        <v>86</v>
      </c>
      <c r="D66" s="24">
        <v>67.599999999999994</v>
      </c>
      <c r="E66" s="19"/>
      <c r="G66" s="24"/>
    </row>
    <row r="67" spans="2:7" x14ac:dyDescent="0.3">
      <c r="B67" s="19">
        <v>45596</v>
      </c>
      <c r="C67" t="s">
        <v>42</v>
      </c>
      <c r="D67" s="24">
        <v>7</v>
      </c>
      <c r="E67" s="19"/>
      <c r="G67" s="24"/>
    </row>
    <row r="68" spans="2:7" x14ac:dyDescent="0.3">
      <c r="B68" s="19">
        <v>45596</v>
      </c>
      <c r="C68" t="s">
        <v>64</v>
      </c>
      <c r="D68" s="24">
        <v>362</v>
      </c>
      <c r="E68" s="19"/>
      <c r="G68" s="24"/>
    </row>
    <row r="69" spans="2:7" x14ac:dyDescent="0.3">
      <c r="B69" s="19">
        <v>45596</v>
      </c>
      <c r="C69" t="s">
        <v>132</v>
      </c>
      <c r="D69" s="24">
        <v>61.5</v>
      </c>
      <c r="G69" s="24"/>
    </row>
    <row r="70" spans="2:7" x14ac:dyDescent="0.3">
      <c r="B70" s="19">
        <v>45600</v>
      </c>
      <c r="C70" t="s">
        <v>8</v>
      </c>
      <c r="D70" s="24">
        <v>10</v>
      </c>
      <c r="G70" s="24"/>
    </row>
    <row r="71" spans="2:7" x14ac:dyDescent="0.3">
      <c r="B71" s="19">
        <v>45626</v>
      </c>
      <c r="C71" t="s">
        <v>86</v>
      </c>
      <c r="D71" s="24">
        <v>58.68</v>
      </c>
      <c r="G71" s="24"/>
    </row>
    <row r="72" spans="2:7" x14ac:dyDescent="0.3">
      <c r="B72" s="19">
        <v>45626</v>
      </c>
      <c r="C72" t="s">
        <v>10</v>
      </c>
      <c r="D72" s="24">
        <v>172.06</v>
      </c>
      <c r="G72" s="24"/>
    </row>
    <row r="73" spans="2:7" x14ac:dyDescent="0.3">
      <c r="B73" s="19">
        <v>45626</v>
      </c>
      <c r="C73" t="s">
        <v>64</v>
      </c>
      <c r="D73" s="24">
        <v>342.85</v>
      </c>
      <c r="G73" s="24"/>
    </row>
    <row r="74" spans="2:7" x14ac:dyDescent="0.3">
      <c r="B74" s="19">
        <v>45626</v>
      </c>
      <c r="C74" t="s">
        <v>132</v>
      </c>
      <c r="D74" s="24">
        <v>82.97</v>
      </c>
      <c r="G74" s="24"/>
    </row>
    <row r="75" spans="2:7" x14ac:dyDescent="0.3">
      <c r="B75" s="19">
        <v>45628</v>
      </c>
      <c r="C75" t="s">
        <v>112</v>
      </c>
      <c r="D75" s="24">
        <v>5.53</v>
      </c>
      <c r="G75" s="24"/>
    </row>
    <row r="76" spans="2:7" x14ac:dyDescent="0.3">
      <c r="B76" s="19">
        <v>45629</v>
      </c>
      <c r="C76" t="s">
        <v>8</v>
      </c>
      <c r="D76" s="24">
        <v>10</v>
      </c>
      <c r="G76" s="24"/>
    </row>
    <row r="77" spans="2:7" x14ac:dyDescent="0.3">
      <c r="B77" s="19">
        <v>45638</v>
      </c>
      <c r="C77" t="s">
        <v>120</v>
      </c>
      <c r="D77" s="24">
        <v>120</v>
      </c>
      <c r="G77" s="24"/>
    </row>
    <row r="78" spans="2:7" x14ac:dyDescent="0.3">
      <c r="B78" s="19">
        <v>45655</v>
      </c>
      <c r="C78" t="s">
        <v>122</v>
      </c>
      <c r="D78" s="24">
        <v>30</v>
      </c>
      <c r="G78" s="24"/>
    </row>
    <row r="79" spans="2:7" x14ac:dyDescent="0.3">
      <c r="B79" s="19">
        <v>45657</v>
      </c>
      <c r="C79" t="s">
        <v>86</v>
      </c>
      <c r="D79" s="24">
        <v>70.39</v>
      </c>
      <c r="G79" s="24"/>
    </row>
    <row r="80" spans="2:7" x14ac:dyDescent="0.3">
      <c r="B80" s="19">
        <v>45657</v>
      </c>
      <c r="C80" t="s">
        <v>42</v>
      </c>
      <c r="D80" s="24">
        <v>69</v>
      </c>
      <c r="G80" s="24"/>
    </row>
    <row r="81" spans="2:7" x14ac:dyDescent="0.3">
      <c r="B81" s="19">
        <v>45657</v>
      </c>
      <c r="C81" t="s">
        <v>10</v>
      </c>
      <c r="D81" s="24">
        <v>72.81</v>
      </c>
      <c r="F81" s="5"/>
      <c r="G81" s="25"/>
    </row>
    <row r="82" spans="2:7" x14ac:dyDescent="0.3">
      <c r="B82" s="19">
        <v>45657</v>
      </c>
      <c r="C82" t="s">
        <v>64</v>
      </c>
      <c r="D82" s="24">
        <v>339</v>
      </c>
      <c r="G82" s="24"/>
    </row>
    <row r="83" spans="2:7" x14ac:dyDescent="0.3">
      <c r="B83" s="19">
        <v>45657</v>
      </c>
      <c r="C83" t="s">
        <v>132</v>
      </c>
      <c r="D83" s="24">
        <v>51.86</v>
      </c>
      <c r="G83" s="24"/>
    </row>
    <row r="84" spans="2:7" x14ac:dyDescent="0.3">
      <c r="B84" s="19">
        <v>45659</v>
      </c>
      <c r="C84" t="s">
        <v>8</v>
      </c>
      <c r="D84" s="24">
        <v>10</v>
      </c>
      <c r="G84" s="24"/>
    </row>
    <row r="85" spans="2:7" x14ac:dyDescent="0.3">
      <c r="B85" s="19">
        <v>45677</v>
      </c>
      <c r="C85" t="s">
        <v>54</v>
      </c>
      <c r="D85" s="24">
        <v>12</v>
      </c>
      <c r="G85" s="24"/>
    </row>
    <row r="86" spans="2:7" x14ac:dyDescent="0.3">
      <c r="B86" s="19">
        <v>45688</v>
      </c>
      <c r="C86" t="s">
        <v>10</v>
      </c>
      <c r="D86" s="24">
        <v>86.5</v>
      </c>
      <c r="G86" s="24"/>
    </row>
    <row r="87" spans="2:7" x14ac:dyDescent="0.3">
      <c r="B87" s="19">
        <v>45688</v>
      </c>
      <c r="C87" t="s">
        <v>86</v>
      </c>
      <c r="D87" s="24">
        <v>50.78</v>
      </c>
      <c r="G87" s="24"/>
    </row>
    <row r="88" spans="2:7" x14ac:dyDescent="0.3">
      <c r="B88" s="19">
        <v>45688</v>
      </c>
      <c r="C88" t="s">
        <v>42</v>
      </c>
      <c r="D88" s="24">
        <v>8</v>
      </c>
      <c r="G88" s="24"/>
    </row>
    <row r="89" spans="2:7" x14ac:dyDescent="0.3">
      <c r="B89" s="19">
        <v>45688</v>
      </c>
      <c r="C89" t="s">
        <v>130</v>
      </c>
      <c r="D89" s="24">
        <v>68</v>
      </c>
      <c r="G89" s="24"/>
    </row>
    <row r="90" spans="2:7" x14ac:dyDescent="0.3">
      <c r="B90" s="19">
        <v>45688</v>
      </c>
      <c r="C90" t="s">
        <v>77</v>
      </c>
      <c r="D90" s="24">
        <v>244.71</v>
      </c>
      <c r="G90" s="24"/>
    </row>
    <row r="91" spans="2:7" x14ac:dyDescent="0.3">
      <c r="B91" s="19">
        <v>45688</v>
      </c>
      <c r="C91" t="s">
        <v>131</v>
      </c>
      <c r="D91" s="24">
        <v>64.69</v>
      </c>
      <c r="G91" s="24"/>
    </row>
    <row r="92" spans="2:7" x14ac:dyDescent="0.3">
      <c r="B92" s="19">
        <v>45688</v>
      </c>
      <c r="C92" t="s">
        <v>64</v>
      </c>
      <c r="D92" s="24">
        <v>285.67</v>
      </c>
      <c r="G92" s="24"/>
    </row>
    <row r="93" spans="2:7" x14ac:dyDescent="0.3">
      <c r="B93" s="19">
        <v>45688</v>
      </c>
      <c r="C93" t="s">
        <v>132</v>
      </c>
      <c r="D93" s="24">
        <v>86.45</v>
      </c>
      <c r="G93" s="24"/>
    </row>
    <row r="94" spans="2:7" x14ac:dyDescent="0.3">
      <c r="B94" s="19">
        <v>45691</v>
      </c>
      <c r="C94" t="s">
        <v>8</v>
      </c>
      <c r="D94" s="24">
        <v>10</v>
      </c>
      <c r="G94" s="24"/>
    </row>
    <row r="95" spans="2:7" x14ac:dyDescent="0.3">
      <c r="B95" s="19">
        <v>45712</v>
      </c>
      <c r="C95" t="s">
        <v>131</v>
      </c>
      <c r="D95" s="24">
        <v>20.69</v>
      </c>
      <c r="G95" s="24"/>
    </row>
    <row r="96" spans="2:7" x14ac:dyDescent="0.3">
      <c r="B96" s="19">
        <v>45716</v>
      </c>
      <c r="C96" t="s">
        <v>86</v>
      </c>
      <c r="D96" s="24">
        <v>34.28</v>
      </c>
      <c r="G96" s="24"/>
    </row>
    <row r="97" spans="2:7" x14ac:dyDescent="0.3">
      <c r="B97" s="19">
        <v>45716</v>
      </c>
      <c r="C97" t="s">
        <v>10</v>
      </c>
      <c r="D97" s="24">
        <v>107.5</v>
      </c>
      <c r="G97" s="24"/>
    </row>
    <row r="98" spans="2:7" x14ac:dyDescent="0.3">
      <c r="B98" s="19">
        <v>45716</v>
      </c>
      <c r="C98" t="s">
        <v>64</v>
      </c>
      <c r="D98" s="24">
        <v>302</v>
      </c>
      <c r="G98" s="24"/>
    </row>
    <row r="99" spans="2:7" x14ac:dyDescent="0.3">
      <c r="B99" s="19">
        <v>45716</v>
      </c>
      <c r="C99" t="s">
        <v>132</v>
      </c>
      <c r="D99" s="24">
        <v>61.03</v>
      </c>
      <c r="G99" s="24"/>
    </row>
    <row r="100" spans="2:7" x14ac:dyDescent="0.3">
      <c r="B100" s="19">
        <v>45719</v>
      </c>
      <c r="C100" t="s">
        <v>8</v>
      </c>
      <c r="D100" s="24">
        <v>10</v>
      </c>
      <c r="G100" s="24"/>
    </row>
    <row r="101" spans="2:7" x14ac:dyDescent="0.3">
      <c r="B101" s="19">
        <v>45719</v>
      </c>
      <c r="C101" t="s">
        <v>135</v>
      </c>
      <c r="D101" s="24">
        <v>58.183999999999997</v>
      </c>
      <c r="G101" s="24"/>
    </row>
    <row r="102" spans="2:7" x14ac:dyDescent="0.3">
      <c r="B102" s="19">
        <v>45740</v>
      </c>
      <c r="C102" t="s">
        <v>131</v>
      </c>
      <c r="D102" s="24">
        <v>20.69</v>
      </c>
      <c r="G102" s="24"/>
    </row>
    <row r="103" spans="2:7" x14ac:dyDescent="0.3">
      <c r="B103" s="19">
        <v>45743</v>
      </c>
      <c r="C103" t="s">
        <v>133</v>
      </c>
      <c r="D103" s="24">
        <v>101.99</v>
      </c>
      <c r="G103" s="24"/>
    </row>
    <row r="104" spans="2:7" x14ac:dyDescent="0.3">
      <c r="B104" s="19">
        <v>45747</v>
      </c>
      <c r="C104" t="s">
        <v>10</v>
      </c>
      <c r="D104" s="24">
        <v>89.01</v>
      </c>
      <c r="G104" s="24"/>
    </row>
    <row r="105" spans="2:7" x14ac:dyDescent="0.3">
      <c r="B105" s="19">
        <v>45747</v>
      </c>
      <c r="C105" t="s">
        <v>86</v>
      </c>
      <c r="D105" s="24">
        <v>106.86</v>
      </c>
      <c r="G105" s="24"/>
    </row>
    <row r="106" spans="2:7" x14ac:dyDescent="0.3">
      <c r="B106" s="19">
        <v>45747</v>
      </c>
      <c r="C106" t="s">
        <v>42</v>
      </c>
      <c r="D106" s="24">
        <v>18.46</v>
      </c>
      <c r="G106" s="24"/>
    </row>
    <row r="107" spans="2:7" x14ac:dyDescent="0.3">
      <c r="B107" s="19">
        <v>45747</v>
      </c>
      <c r="C107" t="s">
        <v>8</v>
      </c>
      <c r="D107" s="24">
        <v>10</v>
      </c>
      <c r="G107" s="24"/>
    </row>
    <row r="108" spans="2:7" x14ac:dyDescent="0.3">
      <c r="B108" s="19">
        <v>45747</v>
      </c>
      <c r="C108" t="s">
        <v>64</v>
      </c>
      <c r="D108" s="24">
        <v>400</v>
      </c>
      <c r="G108" s="24"/>
    </row>
    <row r="109" spans="2:7" x14ac:dyDescent="0.3">
      <c r="B109" s="19">
        <v>45747</v>
      </c>
      <c r="C109" t="s">
        <v>132</v>
      </c>
      <c r="D109" s="24">
        <v>83.12</v>
      </c>
      <c r="G109" s="24"/>
    </row>
    <row r="110" spans="2:7" x14ac:dyDescent="0.3">
      <c r="B110" s="19">
        <v>45754</v>
      </c>
      <c r="C110" t="s">
        <v>130</v>
      </c>
      <c r="D110" s="24">
        <v>133.30000000000001</v>
      </c>
      <c r="G110" s="24"/>
    </row>
    <row r="111" spans="2:7" x14ac:dyDescent="0.3">
      <c r="B111" s="19">
        <v>45757</v>
      </c>
      <c r="C111" t="s">
        <v>9</v>
      </c>
      <c r="D111" s="24">
        <v>33.770000000000003</v>
      </c>
      <c r="G111" s="24"/>
    </row>
    <row r="112" spans="2:7" x14ac:dyDescent="0.3">
      <c r="B112" s="19">
        <v>45769</v>
      </c>
      <c r="C112" t="s">
        <v>42</v>
      </c>
      <c r="D112" s="24">
        <v>40</v>
      </c>
      <c r="G112" s="24"/>
    </row>
    <row r="113" spans="2:7" x14ac:dyDescent="0.3">
      <c r="B113" s="19">
        <v>45769</v>
      </c>
      <c r="C113" t="s">
        <v>133</v>
      </c>
      <c r="D113" s="24">
        <v>250</v>
      </c>
      <c r="G113" s="24"/>
    </row>
    <row r="114" spans="2:7" x14ac:dyDescent="0.3">
      <c r="B114" s="19">
        <v>45771</v>
      </c>
      <c r="C114" t="s">
        <v>131</v>
      </c>
      <c r="D114" s="24">
        <v>20.69</v>
      </c>
      <c r="G114" s="24"/>
    </row>
    <row r="115" spans="2:7" x14ac:dyDescent="0.3">
      <c r="B115" s="19">
        <v>45777</v>
      </c>
      <c r="C115" t="s">
        <v>8</v>
      </c>
      <c r="D115" s="24">
        <v>10</v>
      </c>
      <c r="G115" s="24"/>
    </row>
    <row r="116" spans="2:7" x14ac:dyDescent="0.3">
      <c r="B116" s="19">
        <v>45777</v>
      </c>
      <c r="C116" t="s">
        <v>10</v>
      </c>
      <c r="D116" s="24">
        <v>87</v>
      </c>
      <c r="G116" s="24"/>
    </row>
    <row r="117" spans="2:7" x14ac:dyDescent="0.3">
      <c r="B117" s="19">
        <v>45777</v>
      </c>
      <c r="C117" t="s">
        <v>86</v>
      </c>
      <c r="D117" s="24">
        <v>57.29</v>
      </c>
      <c r="G117" s="24"/>
    </row>
    <row r="118" spans="2:7" x14ac:dyDescent="0.3">
      <c r="B118" s="19">
        <v>45777</v>
      </c>
      <c r="C118" t="s">
        <v>64</v>
      </c>
      <c r="D118" s="24">
        <v>400</v>
      </c>
      <c r="G118" s="24"/>
    </row>
    <row r="119" spans="2:7" x14ac:dyDescent="0.3">
      <c r="B119" s="19">
        <v>45777</v>
      </c>
      <c r="C119" t="s">
        <v>132</v>
      </c>
      <c r="D119" s="24">
        <v>78.05</v>
      </c>
      <c r="G119" s="24"/>
    </row>
    <row r="120" spans="2:7" x14ac:dyDescent="0.3">
      <c r="B120" s="19">
        <v>45804</v>
      </c>
      <c r="C120" t="s">
        <v>131</v>
      </c>
      <c r="D120" s="24">
        <v>49.64</v>
      </c>
      <c r="G120" s="24"/>
    </row>
    <row r="121" spans="2:7" x14ac:dyDescent="0.3">
      <c r="B121" s="19">
        <v>45807</v>
      </c>
      <c r="C121" t="s">
        <v>8</v>
      </c>
      <c r="D121" s="24">
        <v>10</v>
      </c>
      <c r="G121" s="24"/>
    </row>
    <row r="122" spans="2:7" x14ac:dyDescent="0.3">
      <c r="B122" s="19">
        <v>45808</v>
      </c>
      <c r="C122" t="s">
        <v>86</v>
      </c>
      <c r="D122" s="24">
        <v>77.13</v>
      </c>
      <c r="G122" s="24"/>
    </row>
    <row r="123" spans="2:7" x14ac:dyDescent="0.3">
      <c r="B123" s="19">
        <v>45808</v>
      </c>
      <c r="C123" t="s">
        <v>64</v>
      </c>
      <c r="D123" s="24">
        <v>400</v>
      </c>
      <c r="G123" s="24"/>
    </row>
    <row r="124" spans="2:7" x14ac:dyDescent="0.3">
      <c r="B124" s="19">
        <v>45808</v>
      </c>
      <c r="C124" t="s">
        <v>136</v>
      </c>
      <c r="D124" s="24">
        <v>136.99</v>
      </c>
      <c r="G124" s="24"/>
    </row>
    <row r="125" spans="2:7" x14ac:dyDescent="0.3">
      <c r="B125" s="19">
        <v>45838</v>
      </c>
      <c r="C125" t="s">
        <v>86</v>
      </c>
      <c r="D125" s="24">
        <v>27.34</v>
      </c>
      <c r="G125" s="24"/>
    </row>
    <row r="126" spans="2:7" x14ac:dyDescent="0.3">
      <c r="B126" s="19">
        <v>45808</v>
      </c>
      <c r="C126" t="s">
        <v>10</v>
      </c>
      <c r="D126" s="24">
        <v>81</v>
      </c>
      <c r="G126" s="24"/>
    </row>
    <row r="127" spans="2:7" x14ac:dyDescent="0.3">
      <c r="B127" s="19">
        <v>45816</v>
      </c>
      <c r="C127" t="s">
        <v>136</v>
      </c>
      <c r="D127" s="24">
        <v>135</v>
      </c>
      <c r="G127" s="24"/>
    </row>
    <row r="128" spans="2:7" x14ac:dyDescent="0.3">
      <c r="B128" s="19">
        <v>45816</v>
      </c>
      <c r="C128" t="s">
        <v>132</v>
      </c>
      <c r="D128" s="24">
        <v>80.23</v>
      </c>
      <c r="G128" s="24"/>
    </row>
    <row r="129" spans="2:7" x14ac:dyDescent="0.3">
      <c r="B129" s="19">
        <v>45838</v>
      </c>
      <c r="C129" t="s">
        <v>64</v>
      </c>
      <c r="D129" s="24">
        <v>400</v>
      </c>
      <c r="G129" s="24"/>
    </row>
    <row r="130" spans="2:7" x14ac:dyDescent="0.3">
      <c r="B130" s="19">
        <v>45838</v>
      </c>
      <c r="C130" t="s">
        <v>8</v>
      </c>
      <c r="D130" s="24">
        <v>10</v>
      </c>
      <c r="G130" s="24"/>
    </row>
    <row r="131" spans="2:7" x14ac:dyDescent="0.3">
      <c r="B131" s="19">
        <v>45832</v>
      </c>
      <c r="C131" t="s">
        <v>131</v>
      </c>
      <c r="D131" s="24">
        <v>20.69</v>
      </c>
      <c r="G131" s="24"/>
    </row>
    <row r="132" spans="2:7" x14ac:dyDescent="0.3">
      <c r="B132" s="19">
        <v>45838</v>
      </c>
      <c r="C132" t="s">
        <v>10</v>
      </c>
      <c r="D132" s="24">
        <v>35.58</v>
      </c>
      <c r="G132" s="24"/>
    </row>
    <row r="133" spans="2:7" x14ac:dyDescent="0.3">
      <c r="B133" s="19">
        <v>45838</v>
      </c>
      <c r="C133" t="s">
        <v>86</v>
      </c>
      <c r="D133" s="24">
        <v>78.37</v>
      </c>
      <c r="G133" s="24"/>
    </row>
    <row r="134" spans="2:7" x14ac:dyDescent="0.3">
      <c r="B134" s="19">
        <v>45838</v>
      </c>
      <c r="C134" t="s">
        <v>130</v>
      </c>
      <c r="D134" s="24">
        <v>26.5</v>
      </c>
      <c r="G134" s="24"/>
    </row>
    <row r="135" spans="2:7" x14ac:dyDescent="0.3">
      <c r="B135" s="19">
        <v>45828</v>
      </c>
      <c r="C135" t="s">
        <v>138</v>
      </c>
      <c r="D135" s="24">
        <v>12.99</v>
      </c>
      <c r="G135" s="24"/>
    </row>
    <row r="136" spans="2:7" x14ac:dyDescent="0.3">
      <c r="B136" s="19">
        <v>45835</v>
      </c>
      <c r="C136" t="s">
        <v>42</v>
      </c>
      <c r="D136" s="24">
        <v>84</v>
      </c>
      <c r="G136" s="24"/>
    </row>
    <row r="137" spans="2:7" x14ac:dyDescent="0.3">
      <c r="B137" s="19">
        <v>45869</v>
      </c>
      <c r="C137" t="s">
        <v>10</v>
      </c>
      <c r="D137" s="24">
        <v>21</v>
      </c>
      <c r="G137" s="24"/>
    </row>
    <row r="138" spans="2:7" x14ac:dyDescent="0.3">
      <c r="B138" s="19">
        <v>45869</v>
      </c>
      <c r="C138" t="s">
        <v>86</v>
      </c>
      <c r="D138" s="24">
        <v>13.07</v>
      </c>
      <c r="G138" s="24"/>
    </row>
    <row r="139" spans="2:7" x14ac:dyDescent="0.3">
      <c r="B139" t="s">
        <v>6</v>
      </c>
      <c r="D139" s="24">
        <f>SUM(Table10[[Amount ]])</f>
        <v>29873.873999999989</v>
      </c>
      <c r="G139" s="24">
        <f>SUBTOTAL(109,Table10[Amount])</f>
        <v>25716.160000000003</v>
      </c>
    </row>
  </sheetData>
  <phoneticPr fontId="8" type="noConversion"/>
  <conditionalFormatting sqref="R17">
    <cfRule type="iconSet" priority="5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r:id="rId1"/>
  <drawing r:id="rId2"/>
  <legacyDrawing r:id="rId3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44090-12FB-4A03-BB61-F55C647D04A6}">
  <dimension ref="B1:R131"/>
  <sheetViews>
    <sheetView topLeftCell="B1" workbookViewId="0">
      <selection activeCell="E3" sqref="E3:F21"/>
    </sheetView>
  </sheetViews>
  <sheetFormatPr defaultRowHeight="14.4" x14ac:dyDescent="0.3"/>
  <cols>
    <col min="2" max="2" width="14.33203125" bestFit="1" customWidth="1"/>
    <col min="3" max="3" width="10.21875" bestFit="1" customWidth="1"/>
    <col min="4" max="4" width="13.77734375" bestFit="1" customWidth="1"/>
    <col min="5" max="5" width="12.5546875" style="19" bestFit="1" customWidth="1"/>
    <col min="6" max="6" width="14.44140625" style="4" bestFit="1" customWidth="1"/>
    <col min="7" max="7" width="15.5546875" style="19" bestFit="1" customWidth="1"/>
    <col min="8" max="8" width="10.77734375" style="19" bestFit="1" customWidth="1"/>
    <col min="9" max="9" width="10.77734375" style="4" bestFit="1" customWidth="1"/>
    <col min="10" max="10" width="7.88671875" bestFit="1" customWidth="1"/>
    <col min="11" max="11" width="9.88671875" bestFit="1" customWidth="1"/>
    <col min="12" max="12" width="14.88671875" bestFit="1" customWidth="1"/>
    <col min="13" max="13" width="15.5546875" bestFit="1" customWidth="1"/>
    <col min="14" max="15" width="10.77734375" bestFit="1" customWidth="1"/>
    <col min="16" max="16" width="15.21875" bestFit="1" customWidth="1"/>
    <col min="17" max="17" width="10.109375" bestFit="1" customWidth="1"/>
    <col min="18" max="18" width="7" style="19" bestFit="1" customWidth="1"/>
    <col min="19" max="19" width="10.77734375" bestFit="1" customWidth="1"/>
    <col min="20" max="20" width="6.5546875" bestFit="1" customWidth="1"/>
    <col min="21" max="21" width="6.6640625" bestFit="1" customWidth="1"/>
    <col min="22" max="22" width="7" bestFit="1" customWidth="1"/>
    <col min="23" max="23" width="10.77734375" bestFit="1" customWidth="1"/>
    <col min="24" max="24" width="15.21875" bestFit="1" customWidth="1"/>
    <col min="25" max="25" width="10.109375" bestFit="1" customWidth="1"/>
    <col min="26" max="27" width="10.77734375" bestFit="1" customWidth="1"/>
    <col min="28" max="28" width="22" bestFit="1" customWidth="1"/>
    <col min="29" max="29" width="26.21875" bestFit="1" customWidth="1"/>
    <col min="30" max="30" width="14.33203125" bestFit="1" customWidth="1"/>
    <col min="31" max="31" width="13.88671875" bestFit="1" customWidth="1"/>
    <col min="32" max="32" width="9" bestFit="1" customWidth="1"/>
    <col min="33" max="33" width="26.6640625" bestFit="1" customWidth="1"/>
    <col min="34" max="34" width="24.5546875" bestFit="1" customWidth="1"/>
    <col min="35" max="35" width="24.44140625" bestFit="1" customWidth="1"/>
    <col min="36" max="36" width="13.5546875" bestFit="1" customWidth="1"/>
    <col min="37" max="37" width="21.33203125" bestFit="1" customWidth="1"/>
    <col min="38" max="38" width="13.21875" bestFit="1" customWidth="1"/>
    <col min="39" max="39" width="16.109375" bestFit="1" customWidth="1"/>
    <col min="40" max="40" width="18.44140625" bestFit="1" customWidth="1"/>
    <col min="41" max="43" width="10.77734375" bestFit="1" customWidth="1"/>
    <col min="44" max="50" width="8.33203125" bestFit="1" customWidth="1"/>
    <col min="51" max="51" width="9.109375" bestFit="1" customWidth="1"/>
    <col min="52" max="59" width="8.33203125" bestFit="1" customWidth="1"/>
    <col min="60" max="60" width="10.77734375" bestFit="1" customWidth="1"/>
  </cols>
  <sheetData>
    <row r="1" spans="2:18" x14ac:dyDescent="0.3">
      <c r="F1"/>
    </row>
    <row r="2" spans="2:18" x14ac:dyDescent="0.3">
      <c r="B2" s="5" t="s">
        <v>90</v>
      </c>
      <c r="E2" s="23" t="s">
        <v>103</v>
      </c>
      <c r="F2" s="6"/>
      <c r="G2" s="23"/>
      <c r="H2" s="23" t="s">
        <v>28</v>
      </c>
      <c r="K2" s="5"/>
    </row>
    <row r="3" spans="2:18" x14ac:dyDescent="0.3">
      <c r="B3" t="s">
        <v>16</v>
      </c>
      <c r="C3" s="4">
        <f>Sheet1!N10</f>
        <v>1106.21</v>
      </c>
      <c r="D3" s="16"/>
      <c r="E3" s="20" t="s">
        <v>101</v>
      </c>
      <c r="F3" t="s">
        <v>91</v>
      </c>
      <c r="G3"/>
      <c r="H3" s="20" t="s">
        <v>101</v>
      </c>
      <c r="I3" t="s">
        <v>109</v>
      </c>
      <c r="R3"/>
    </row>
    <row r="4" spans="2:18" x14ac:dyDescent="0.3">
      <c r="B4" t="s">
        <v>24</v>
      </c>
      <c r="C4" s="4">
        <f>Sheet1!N9</f>
        <v>335.4</v>
      </c>
      <c r="D4" s="16"/>
      <c r="E4" s="1" t="s">
        <v>102</v>
      </c>
      <c r="F4">
        <v>14295.59</v>
      </c>
      <c r="G4"/>
      <c r="H4" s="1" t="s">
        <v>102</v>
      </c>
      <c r="I4" s="24">
        <v>13979.050000000001</v>
      </c>
      <c r="K4" s="19"/>
      <c r="L4" s="23" t="s">
        <v>125</v>
      </c>
      <c r="R4"/>
    </row>
    <row r="5" spans="2:18" x14ac:dyDescent="0.3">
      <c r="B5" t="s">
        <v>68</v>
      </c>
      <c r="C5" s="4">
        <f>Sheet1!N12</f>
        <v>105.13</v>
      </c>
      <c r="D5" s="16"/>
      <c r="E5" s="22" t="s">
        <v>87</v>
      </c>
      <c r="F5">
        <v>680</v>
      </c>
      <c r="G5"/>
      <c r="H5" s="22" t="s">
        <v>87</v>
      </c>
      <c r="I5" s="24">
        <v>35.900000000000006</v>
      </c>
      <c r="K5" s="19"/>
      <c r="L5" s="20" t="s">
        <v>109</v>
      </c>
      <c r="M5" s="20" t="s">
        <v>110</v>
      </c>
      <c r="R5"/>
    </row>
    <row r="6" spans="2:18" x14ac:dyDescent="0.3">
      <c r="B6" t="s">
        <v>60</v>
      </c>
      <c r="C6" s="4">
        <f>Sheet1!N11</f>
        <v>3004.21</v>
      </c>
      <c r="D6" s="16"/>
      <c r="E6" s="22" t="s">
        <v>88</v>
      </c>
      <c r="F6">
        <v>690.52</v>
      </c>
      <c r="G6"/>
      <c r="H6" s="22" t="s">
        <v>88</v>
      </c>
      <c r="I6" s="24">
        <v>747.42</v>
      </c>
      <c r="K6" s="19"/>
      <c r="L6" s="20" t="s">
        <v>101</v>
      </c>
      <c r="M6" t="s">
        <v>64</v>
      </c>
      <c r="N6" t="s">
        <v>100</v>
      </c>
      <c r="R6"/>
    </row>
    <row r="7" spans="2:18" x14ac:dyDescent="0.3">
      <c r="B7" t="s">
        <v>17</v>
      </c>
      <c r="C7" s="4">
        <f>Sheet1!O7</f>
        <v>0</v>
      </c>
      <c r="D7" s="16"/>
      <c r="E7" s="22" t="s">
        <v>89</v>
      </c>
      <c r="F7">
        <v>540</v>
      </c>
      <c r="G7"/>
      <c r="H7" s="22" t="s">
        <v>89</v>
      </c>
      <c r="I7" s="24">
        <v>70.08</v>
      </c>
      <c r="K7" s="19"/>
      <c r="L7" s="1" t="s">
        <v>102</v>
      </c>
      <c r="M7" s="24">
        <v>2643.85</v>
      </c>
      <c r="N7" s="24">
        <v>2643.85</v>
      </c>
      <c r="R7"/>
    </row>
    <row r="8" spans="2:18" x14ac:dyDescent="0.3">
      <c r="B8" s="5" t="s">
        <v>6</v>
      </c>
      <c r="C8" s="6">
        <f>SUM(C3:C7)</f>
        <v>4550.9500000000007</v>
      </c>
      <c r="E8" s="22" t="s">
        <v>92</v>
      </c>
      <c r="F8">
        <v>956.36</v>
      </c>
      <c r="G8"/>
      <c r="H8" s="22" t="s">
        <v>92</v>
      </c>
      <c r="I8" s="24">
        <v>317.27999999999997</v>
      </c>
      <c r="K8" s="19"/>
      <c r="L8" s="22" t="s">
        <v>94</v>
      </c>
      <c r="M8" s="24">
        <v>608</v>
      </c>
      <c r="N8" s="24">
        <v>608</v>
      </c>
      <c r="R8"/>
    </row>
    <row r="9" spans="2:18" x14ac:dyDescent="0.3">
      <c r="E9" s="22" t="s">
        <v>93</v>
      </c>
      <c r="F9">
        <v>1379.58</v>
      </c>
      <c r="G9"/>
      <c r="H9" s="22" t="s">
        <v>93</v>
      </c>
      <c r="I9" s="24">
        <v>172.53999999999996</v>
      </c>
      <c r="K9" s="19"/>
      <c r="L9" s="22" t="s">
        <v>95</v>
      </c>
      <c r="M9" s="24">
        <v>318</v>
      </c>
      <c r="N9" s="24">
        <v>318</v>
      </c>
      <c r="R9"/>
    </row>
    <row r="10" spans="2:18" x14ac:dyDescent="0.3">
      <c r="E10" s="22" t="s">
        <v>94</v>
      </c>
      <c r="F10">
        <v>1175.8</v>
      </c>
      <c r="G10"/>
      <c r="H10" s="22" t="s">
        <v>94</v>
      </c>
      <c r="I10" s="24">
        <v>7113.9000000000005</v>
      </c>
      <c r="K10" s="19"/>
      <c r="L10" s="22" t="s">
        <v>96</v>
      </c>
      <c r="M10" s="24">
        <v>350</v>
      </c>
      <c r="N10" s="24">
        <v>350</v>
      </c>
      <c r="R10"/>
    </row>
    <row r="11" spans="2:18" x14ac:dyDescent="0.3">
      <c r="E11" s="22" t="s">
        <v>95</v>
      </c>
      <c r="F11">
        <v>1376.62</v>
      </c>
      <c r="G11"/>
      <c r="H11" s="22" t="s">
        <v>95</v>
      </c>
      <c r="I11" s="24">
        <v>586.4</v>
      </c>
      <c r="K11" s="19"/>
      <c r="L11" s="22" t="s">
        <v>97</v>
      </c>
      <c r="M11" s="24">
        <v>324</v>
      </c>
      <c r="N11" s="24">
        <v>324</v>
      </c>
    </row>
    <row r="12" spans="2:18" x14ac:dyDescent="0.3">
      <c r="E12" s="22" t="s">
        <v>96</v>
      </c>
      <c r="F12">
        <v>1544.45</v>
      </c>
      <c r="G12"/>
      <c r="H12" s="22" t="s">
        <v>96</v>
      </c>
      <c r="I12" s="24">
        <v>538.27</v>
      </c>
      <c r="K12" s="19"/>
      <c r="L12" s="22" t="s">
        <v>98</v>
      </c>
      <c r="M12" s="24">
        <v>362</v>
      </c>
      <c r="N12" s="24">
        <v>362</v>
      </c>
    </row>
    <row r="13" spans="2:18" x14ac:dyDescent="0.3">
      <c r="E13" s="22" t="s">
        <v>97</v>
      </c>
      <c r="F13">
        <v>2025.6799999999998</v>
      </c>
      <c r="G13"/>
      <c r="H13" s="22" t="s">
        <v>97</v>
      </c>
      <c r="I13" s="24">
        <v>2079.42</v>
      </c>
      <c r="K13" s="19"/>
      <c r="L13" s="22" t="s">
        <v>104</v>
      </c>
      <c r="M13" s="24">
        <v>342.85</v>
      </c>
      <c r="N13" s="24">
        <v>342.85</v>
      </c>
    </row>
    <row r="14" spans="2:18" x14ac:dyDescent="0.3">
      <c r="E14" s="22" t="s">
        <v>98</v>
      </c>
      <c r="F14">
        <v>1229.99</v>
      </c>
      <c r="G14"/>
      <c r="H14" s="22" t="s">
        <v>98</v>
      </c>
      <c r="I14" s="24">
        <v>882.69</v>
      </c>
      <c r="K14" s="19"/>
      <c r="L14" s="22" t="s">
        <v>99</v>
      </c>
      <c r="M14" s="24">
        <v>339</v>
      </c>
      <c r="N14" s="24">
        <v>339</v>
      </c>
    </row>
    <row r="15" spans="2:18" x14ac:dyDescent="0.3">
      <c r="E15" s="22" t="s">
        <v>104</v>
      </c>
      <c r="F15">
        <v>1659.33</v>
      </c>
      <c r="G15"/>
      <c r="H15" s="22" t="s">
        <v>104</v>
      </c>
      <c r="I15" s="24">
        <v>666.56000000000006</v>
      </c>
      <c r="K15" s="19"/>
      <c r="L15" s="1" t="s">
        <v>124</v>
      </c>
      <c r="M15" s="24">
        <v>1763.67</v>
      </c>
      <c r="N15" s="24">
        <v>1763.67</v>
      </c>
    </row>
    <row r="16" spans="2:18" x14ac:dyDescent="0.3">
      <c r="E16" s="22" t="s">
        <v>99</v>
      </c>
      <c r="F16">
        <v>1037.26</v>
      </c>
      <c r="G16"/>
      <c r="H16" s="22" t="s">
        <v>99</v>
      </c>
      <c r="I16" s="24">
        <v>768.59</v>
      </c>
      <c r="K16" s="19"/>
      <c r="L16" s="22" t="s">
        <v>87</v>
      </c>
      <c r="M16" s="24">
        <v>285.67</v>
      </c>
      <c r="N16" s="24">
        <v>285.67</v>
      </c>
    </row>
    <row r="17" spans="2:18" x14ac:dyDescent="0.3">
      <c r="E17" s="1" t="s">
        <v>124</v>
      </c>
      <c r="F17">
        <v>9004.1200000000008</v>
      </c>
      <c r="G17"/>
      <c r="H17" s="1" t="s">
        <v>124</v>
      </c>
      <c r="I17" s="24">
        <v>4249.3440000000001</v>
      </c>
      <c r="K17" s="19"/>
      <c r="L17" s="22" t="s">
        <v>88</v>
      </c>
      <c r="M17" s="24">
        <v>302</v>
      </c>
      <c r="N17" s="24">
        <v>302</v>
      </c>
    </row>
    <row r="18" spans="2:18" x14ac:dyDescent="0.3">
      <c r="E18" s="22" t="s">
        <v>87</v>
      </c>
      <c r="F18">
        <v>1728.92</v>
      </c>
      <c r="G18"/>
      <c r="H18" s="22" t="s">
        <v>87</v>
      </c>
      <c r="I18" s="24">
        <v>916.80000000000018</v>
      </c>
      <c r="K18" s="19"/>
      <c r="L18" s="22" t="s">
        <v>89</v>
      </c>
      <c r="M18" s="24">
        <v>393</v>
      </c>
      <c r="N18" s="24">
        <v>393</v>
      </c>
    </row>
    <row r="19" spans="2:18" x14ac:dyDescent="0.3">
      <c r="E19" s="22" t="s">
        <v>88</v>
      </c>
      <c r="F19">
        <v>1220.51</v>
      </c>
      <c r="G19"/>
      <c r="H19" s="22" t="s">
        <v>88</v>
      </c>
      <c r="I19" s="24">
        <v>535.5</v>
      </c>
      <c r="K19" s="19"/>
      <c r="L19" s="22" t="s">
        <v>92</v>
      </c>
      <c r="M19" s="24">
        <v>383</v>
      </c>
      <c r="N19" s="24">
        <v>383</v>
      </c>
    </row>
    <row r="20" spans="2:18" x14ac:dyDescent="0.3">
      <c r="D20" s="4"/>
      <c r="E20" s="22" t="s">
        <v>89</v>
      </c>
      <c r="F20">
        <v>1662.29</v>
      </c>
      <c r="G20"/>
      <c r="H20" s="22" t="s">
        <v>89</v>
      </c>
      <c r="I20" s="24">
        <v>905.14399999999989</v>
      </c>
      <c r="K20" s="19"/>
      <c r="L20" s="22" t="s">
        <v>93</v>
      </c>
      <c r="M20" s="24">
        <v>400</v>
      </c>
      <c r="N20" s="24">
        <v>400</v>
      </c>
    </row>
    <row r="21" spans="2:18" x14ac:dyDescent="0.3">
      <c r="B21" s="5" t="s">
        <v>119</v>
      </c>
      <c r="E21" s="22" t="s">
        <v>92</v>
      </c>
      <c r="F21">
        <v>1561.08</v>
      </c>
      <c r="H21" s="22" t="s">
        <v>92</v>
      </c>
      <c r="I21" s="24">
        <v>1109.8</v>
      </c>
      <c r="K21" s="19"/>
      <c r="L21" s="1" t="s">
        <v>100</v>
      </c>
      <c r="M21" s="24">
        <v>4407.5200000000004</v>
      </c>
      <c r="N21" s="24">
        <v>4407.5200000000004</v>
      </c>
    </row>
    <row r="22" spans="2:18" x14ac:dyDescent="0.3">
      <c r="B22" t="s">
        <v>115</v>
      </c>
      <c r="C22" t="s">
        <v>116</v>
      </c>
      <c r="D22" t="s">
        <v>117</v>
      </c>
      <c r="E22" s="22" t="s">
        <v>93</v>
      </c>
      <c r="F22">
        <v>1604.6599999999999</v>
      </c>
      <c r="H22" s="22" t="s">
        <v>93</v>
      </c>
      <c r="I22" s="24">
        <v>754.76</v>
      </c>
      <c r="K22" s="19"/>
    </row>
    <row r="23" spans="2:18" x14ac:dyDescent="0.3">
      <c r="B23" t="s">
        <v>118</v>
      </c>
      <c r="C23">
        <v>8.9009999999999992E-3</v>
      </c>
      <c r="D23">
        <v>112.346729</v>
      </c>
      <c r="E23" s="22" t="s">
        <v>94</v>
      </c>
      <c r="F23">
        <v>1226.6600000000001</v>
      </c>
      <c r="H23" s="22" t="s">
        <v>94</v>
      </c>
      <c r="I23" s="24">
        <v>27.34</v>
      </c>
      <c r="K23" s="19"/>
      <c r="R23"/>
    </row>
    <row r="24" spans="2:18" x14ac:dyDescent="0.3">
      <c r="E24" s="1" t="s">
        <v>100</v>
      </c>
      <c r="F24">
        <v>23299.71</v>
      </c>
      <c r="H24" s="1" t="s">
        <v>100</v>
      </c>
      <c r="I24" s="24">
        <v>18228.394</v>
      </c>
      <c r="K24" s="19"/>
      <c r="R24"/>
    </row>
    <row r="25" spans="2:18" x14ac:dyDescent="0.3">
      <c r="E25"/>
      <c r="F25"/>
      <c r="H25"/>
      <c r="I25"/>
      <c r="K25" s="19"/>
      <c r="R25"/>
    </row>
    <row r="26" spans="2:18" x14ac:dyDescent="0.3">
      <c r="E26"/>
      <c r="F26"/>
      <c r="H26"/>
      <c r="I26"/>
      <c r="K26" s="19"/>
      <c r="R26"/>
    </row>
    <row r="27" spans="2:18" x14ac:dyDescent="0.3">
      <c r="E27"/>
      <c r="F27"/>
      <c r="H27"/>
      <c r="I27"/>
      <c r="K27" s="19"/>
      <c r="R27"/>
    </row>
    <row r="28" spans="2:18" x14ac:dyDescent="0.3">
      <c r="E28"/>
      <c r="F28"/>
      <c r="H28"/>
      <c r="I28"/>
      <c r="K28" s="19"/>
      <c r="R28"/>
    </row>
    <row r="29" spans="2:18" x14ac:dyDescent="0.3">
      <c r="E29"/>
      <c r="F29"/>
      <c r="H29"/>
      <c r="I29"/>
      <c r="K29" s="19"/>
      <c r="R29"/>
    </row>
    <row r="30" spans="2:18" x14ac:dyDescent="0.3">
      <c r="E30"/>
      <c r="F30"/>
      <c r="H30"/>
      <c r="I30"/>
      <c r="K30" s="19"/>
      <c r="R30"/>
    </row>
    <row r="31" spans="2:18" x14ac:dyDescent="0.3">
      <c r="E31"/>
      <c r="F31"/>
      <c r="H31"/>
      <c r="I31"/>
      <c r="K31" s="19"/>
      <c r="R31"/>
    </row>
    <row r="32" spans="2:18" x14ac:dyDescent="0.3">
      <c r="E32"/>
      <c r="F32"/>
      <c r="H32"/>
      <c r="I32"/>
      <c r="K32" s="19"/>
      <c r="R32"/>
    </row>
    <row r="33" spans="5:18" x14ac:dyDescent="0.3">
      <c r="E33"/>
      <c r="F33"/>
      <c r="H33"/>
      <c r="I33"/>
      <c r="K33" s="19"/>
      <c r="R33"/>
    </row>
    <row r="34" spans="5:18" x14ac:dyDescent="0.3">
      <c r="E34"/>
      <c r="F34"/>
      <c r="H34"/>
      <c r="I34"/>
      <c r="K34" s="19"/>
      <c r="R34"/>
    </row>
    <row r="35" spans="5:18" x14ac:dyDescent="0.3">
      <c r="E35"/>
      <c r="F35"/>
      <c r="H35"/>
      <c r="I35"/>
      <c r="K35" s="19"/>
      <c r="R35"/>
    </row>
    <row r="36" spans="5:18" customFormat="1" x14ac:dyDescent="0.3">
      <c r="G36" s="19"/>
    </row>
    <row r="37" spans="5:18" customFormat="1" x14ac:dyDescent="0.3">
      <c r="G37" s="19"/>
    </row>
    <row r="38" spans="5:18" customFormat="1" x14ac:dyDescent="0.3">
      <c r="G38" s="19"/>
    </row>
    <row r="39" spans="5:18" customFormat="1" x14ac:dyDescent="0.3">
      <c r="G39" s="19"/>
    </row>
    <row r="40" spans="5:18" customFormat="1" x14ac:dyDescent="0.3">
      <c r="G40" s="19"/>
    </row>
    <row r="41" spans="5:18" customFormat="1" x14ac:dyDescent="0.3">
      <c r="G41" s="19"/>
    </row>
    <row r="42" spans="5:18" customFormat="1" x14ac:dyDescent="0.3">
      <c r="G42" s="19"/>
    </row>
    <row r="43" spans="5:18" customFormat="1" x14ac:dyDescent="0.3">
      <c r="G43" s="19"/>
    </row>
    <row r="44" spans="5:18" customFormat="1" x14ac:dyDescent="0.3">
      <c r="G44" s="19"/>
    </row>
    <row r="45" spans="5:18" customFormat="1" x14ac:dyDescent="0.3">
      <c r="G45" s="19"/>
    </row>
    <row r="46" spans="5:18" customFormat="1" x14ac:dyDescent="0.3">
      <c r="G46" s="19"/>
    </row>
    <row r="47" spans="5:18" customFormat="1" x14ac:dyDescent="0.3">
      <c r="G47" s="19"/>
    </row>
    <row r="48" spans="5:18" customFormat="1" x14ac:dyDescent="0.3">
      <c r="G48" s="19"/>
    </row>
    <row r="49" spans="7:7" customFormat="1" x14ac:dyDescent="0.3">
      <c r="G49" s="19"/>
    </row>
    <row r="50" spans="7:7" customFormat="1" x14ac:dyDescent="0.3">
      <c r="G50" s="19"/>
    </row>
    <row r="51" spans="7:7" customFormat="1" x14ac:dyDescent="0.3">
      <c r="G51" s="19"/>
    </row>
    <row r="52" spans="7:7" customFormat="1" x14ac:dyDescent="0.3">
      <c r="G52" s="19"/>
    </row>
    <row r="53" spans="7:7" customFormat="1" x14ac:dyDescent="0.3">
      <c r="G53" s="19"/>
    </row>
    <row r="54" spans="7:7" customFormat="1" x14ac:dyDescent="0.3">
      <c r="G54" s="19"/>
    </row>
    <row r="55" spans="7:7" customFormat="1" x14ac:dyDescent="0.3">
      <c r="G55" s="19"/>
    </row>
    <row r="56" spans="7:7" customFormat="1" x14ac:dyDescent="0.3">
      <c r="G56" s="19"/>
    </row>
    <row r="57" spans="7:7" customFormat="1" x14ac:dyDescent="0.3">
      <c r="G57" s="19"/>
    </row>
    <row r="58" spans="7:7" customFormat="1" x14ac:dyDescent="0.3">
      <c r="G58" s="19"/>
    </row>
    <row r="59" spans="7:7" customFormat="1" x14ac:dyDescent="0.3">
      <c r="G59" s="19"/>
    </row>
    <row r="60" spans="7:7" customFormat="1" x14ac:dyDescent="0.3">
      <c r="G60" s="19"/>
    </row>
    <row r="61" spans="7:7" customFormat="1" x14ac:dyDescent="0.3">
      <c r="G61" s="19"/>
    </row>
    <row r="62" spans="7:7" customFormat="1" x14ac:dyDescent="0.3">
      <c r="G62" s="19"/>
    </row>
    <row r="63" spans="7:7" customFormat="1" x14ac:dyDescent="0.3">
      <c r="G63" s="19"/>
    </row>
    <row r="64" spans="7:7" customFormat="1" x14ac:dyDescent="0.3">
      <c r="G64" s="19"/>
    </row>
    <row r="65" spans="5:18" x14ac:dyDescent="0.3">
      <c r="E65"/>
      <c r="F65"/>
      <c r="H65"/>
      <c r="I65"/>
      <c r="R65"/>
    </row>
    <row r="66" spans="5:18" x14ac:dyDescent="0.3">
      <c r="E66"/>
      <c r="F66"/>
      <c r="H66"/>
      <c r="I66"/>
    </row>
    <row r="67" spans="5:18" x14ac:dyDescent="0.3">
      <c r="E67"/>
      <c r="F67"/>
      <c r="H67"/>
      <c r="I67"/>
    </row>
    <row r="68" spans="5:18" x14ac:dyDescent="0.3">
      <c r="E68"/>
      <c r="F68"/>
      <c r="H68"/>
      <c r="I68"/>
    </row>
    <row r="69" spans="5:18" x14ac:dyDescent="0.3">
      <c r="E69"/>
      <c r="F69"/>
      <c r="H69"/>
      <c r="I69"/>
    </row>
    <row r="70" spans="5:18" x14ac:dyDescent="0.3">
      <c r="H70"/>
      <c r="I70"/>
    </row>
    <row r="71" spans="5:18" x14ac:dyDescent="0.3">
      <c r="H71"/>
      <c r="I71"/>
    </row>
    <row r="72" spans="5:18" x14ac:dyDescent="0.3">
      <c r="H72"/>
      <c r="I72"/>
    </row>
    <row r="73" spans="5:18" x14ac:dyDescent="0.3">
      <c r="H73"/>
      <c r="I73"/>
    </row>
    <row r="74" spans="5:18" x14ac:dyDescent="0.3">
      <c r="H74"/>
      <c r="I74"/>
    </row>
    <row r="75" spans="5:18" x14ac:dyDescent="0.3">
      <c r="H75"/>
      <c r="I75"/>
    </row>
    <row r="76" spans="5:18" x14ac:dyDescent="0.3">
      <c r="H76"/>
      <c r="I76"/>
    </row>
    <row r="77" spans="5:18" x14ac:dyDescent="0.3">
      <c r="H77"/>
      <c r="I77"/>
    </row>
    <row r="78" spans="5:18" x14ac:dyDescent="0.3">
      <c r="H78"/>
      <c r="I78"/>
    </row>
    <row r="79" spans="5:18" x14ac:dyDescent="0.3">
      <c r="H79"/>
      <c r="I79"/>
    </row>
    <row r="80" spans="5:18" x14ac:dyDescent="0.3">
      <c r="H80"/>
      <c r="I80"/>
    </row>
    <row r="81" spans="8:9" x14ac:dyDescent="0.3">
      <c r="H81"/>
      <c r="I81"/>
    </row>
    <row r="82" spans="8:9" x14ac:dyDescent="0.3">
      <c r="H82"/>
      <c r="I82"/>
    </row>
    <row r="83" spans="8:9" x14ac:dyDescent="0.3">
      <c r="H83"/>
      <c r="I83"/>
    </row>
    <row r="84" spans="8:9" x14ac:dyDescent="0.3">
      <c r="H84"/>
      <c r="I84"/>
    </row>
    <row r="85" spans="8:9" x14ac:dyDescent="0.3">
      <c r="H85"/>
      <c r="I85"/>
    </row>
    <row r="86" spans="8:9" x14ac:dyDescent="0.3">
      <c r="H86"/>
      <c r="I86"/>
    </row>
    <row r="87" spans="8:9" x14ac:dyDescent="0.3">
      <c r="H87"/>
      <c r="I87"/>
    </row>
    <row r="88" spans="8:9" x14ac:dyDescent="0.3">
      <c r="H88"/>
      <c r="I88"/>
    </row>
    <row r="106" spans="6:18" x14ac:dyDescent="0.3">
      <c r="F106" s="20" t="s">
        <v>91</v>
      </c>
      <c r="G106" s="20" t="s">
        <v>110</v>
      </c>
      <c r="H106"/>
      <c r="I106"/>
      <c r="R106"/>
    </row>
    <row r="107" spans="6:18" x14ac:dyDescent="0.3">
      <c r="F107" s="20" t="s">
        <v>101</v>
      </c>
      <c r="G107" t="s">
        <v>58</v>
      </c>
      <c r="H107" t="s">
        <v>100</v>
      </c>
      <c r="I107"/>
      <c r="R107"/>
    </row>
    <row r="108" spans="6:18" x14ac:dyDescent="0.3">
      <c r="F108" s="1" t="s">
        <v>102</v>
      </c>
      <c r="G108"/>
      <c r="H108"/>
      <c r="I108"/>
      <c r="R108"/>
    </row>
    <row r="109" spans="6:18" x14ac:dyDescent="0.3">
      <c r="F109" s="22" t="s">
        <v>87</v>
      </c>
      <c r="G109">
        <v>680</v>
      </c>
      <c r="H109">
        <v>680</v>
      </c>
      <c r="I109"/>
      <c r="R109"/>
    </row>
    <row r="110" spans="6:18" x14ac:dyDescent="0.3">
      <c r="F110" s="22" t="s">
        <v>88</v>
      </c>
      <c r="G110">
        <v>690.52</v>
      </c>
      <c r="H110">
        <v>690.52</v>
      </c>
      <c r="I110"/>
      <c r="R110"/>
    </row>
    <row r="111" spans="6:18" x14ac:dyDescent="0.3">
      <c r="F111" s="22" t="s">
        <v>89</v>
      </c>
      <c r="G111">
        <v>540</v>
      </c>
      <c r="H111">
        <v>540</v>
      </c>
      <c r="I111"/>
      <c r="R111"/>
    </row>
    <row r="112" spans="6:18" x14ac:dyDescent="0.3">
      <c r="F112" s="22" t="s">
        <v>92</v>
      </c>
      <c r="G112">
        <v>650</v>
      </c>
      <c r="H112">
        <v>650</v>
      </c>
      <c r="I112"/>
      <c r="R112"/>
    </row>
    <row r="113" spans="6:18" x14ac:dyDescent="0.3">
      <c r="F113" s="22" t="s">
        <v>93</v>
      </c>
      <c r="G113">
        <v>644</v>
      </c>
      <c r="H113">
        <v>644</v>
      </c>
      <c r="I113"/>
      <c r="R113"/>
    </row>
    <row r="114" spans="6:18" x14ac:dyDescent="0.3">
      <c r="F114" s="22" t="s">
        <v>94</v>
      </c>
      <c r="G114">
        <v>385</v>
      </c>
      <c r="H114">
        <v>385</v>
      </c>
      <c r="I114"/>
      <c r="R114"/>
    </row>
    <row r="115" spans="6:18" x14ac:dyDescent="0.3">
      <c r="F115" s="22" t="s">
        <v>95</v>
      </c>
      <c r="G115">
        <v>525</v>
      </c>
      <c r="H115">
        <v>525</v>
      </c>
      <c r="I115"/>
      <c r="R115"/>
    </row>
    <row r="116" spans="6:18" x14ac:dyDescent="0.3">
      <c r="F116" s="22" t="s">
        <v>96</v>
      </c>
      <c r="G116">
        <v>896</v>
      </c>
      <c r="H116">
        <v>896</v>
      </c>
      <c r="I116"/>
      <c r="R116"/>
    </row>
    <row r="117" spans="6:18" x14ac:dyDescent="0.3">
      <c r="F117" s="22" t="s">
        <v>97</v>
      </c>
      <c r="G117">
        <v>340</v>
      </c>
      <c r="H117">
        <v>340</v>
      </c>
      <c r="I117"/>
      <c r="R117"/>
    </row>
    <row r="118" spans="6:18" x14ac:dyDescent="0.3">
      <c r="F118" s="22" t="s">
        <v>98</v>
      </c>
      <c r="G118">
        <v>416.5</v>
      </c>
      <c r="H118">
        <v>416.5</v>
      </c>
      <c r="I118"/>
      <c r="R118"/>
    </row>
    <row r="119" spans="6:18" x14ac:dyDescent="0.3">
      <c r="F119" s="22" t="s">
        <v>104</v>
      </c>
      <c r="G119">
        <v>252</v>
      </c>
      <c r="H119">
        <v>252</v>
      </c>
      <c r="I119"/>
      <c r="R119"/>
    </row>
    <row r="120" spans="6:18" x14ac:dyDescent="0.3">
      <c r="F120" s="22" t="s">
        <v>99</v>
      </c>
      <c r="G120">
        <v>161</v>
      </c>
      <c r="H120">
        <v>161</v>
      </c>
      <c r="I120"/>
      <c r="R120"/>
    </row>
    <row r="121" spans="6:18" x14ac:dyDescent="0.3">
      <c r="F121" s="1" t="s">
        <v>124</v>
      </c>
      <c r="G121"/>
      <c r="H121"/>
      <c r="I121"/>
      <c r="R121"/>
    </row>
    <row r="122" spans="6:18" x14ac:dyDescent="0.3">
      <c r="F122" s="22" t="s">
        <v>87</v>
      </c>
      <c r="G122">
        <v>344</v>
      </c>
      <c r="H122">
        <v>344</v>
      </c>
      <c r="I122"/>
      <c r="R122"/>
    </row>
    <row r="123" spans="6:18" x14ac:dyDescent="0.3">
      <c r="F123" s="22" t="s">
        <v>88</v>
      </c>
      <c r="G123">
        <v>248</v>
      </c>
      <c r="H123">
        <v>248</v>
      </c>
      <c r="I123"/>
      <c r="R123"/>
    </row>
    <row r="124" spans="6:18" x14ac:dyDescent="0.3">
      <c r="F124" s="22" t="s">
        <v>89</v>
      </c>
      <c r="G124">
        <v>688</v>
      </c>
      <c r="H124">
        <v>688</v>
      </c>
      <c r="I124"/>
      <c r="R124"/>
    </row>
    <row r="125" spans="6:18" x14ac:dyDescent="0.3">
      <c r="F125" s="22" t="s">
        <v>92</v>
      </c>
      <c r="G125">
        <v>568</v>
      </c>
      <c r="H125">
        <v>568</v>
      </c>
      <c r="I125"/>
      <c r="R125"/>
    </row>
    <row r="126" spans="6:18" x14ac:dyDescent="0.3">
      <c r="F126" s="22" t="s">
        <v>93</v>
      </c>
      <c r="G126">
        <v>616</v>
      </c>
      <c r="H126">
        <v>616</v>
      </c>
      <c r="I126"/>
      <c r="R126"/>
    </row>
    <row r="127" spans="6:18" x14ac:dyDescent="0.3">
      <c r="F127" s="1" t="s">
        <v>100</v>
      </c>
      <c r="G127">
        <v>8644.02</v>
      </c>
      <c r="H127">
        <v>8644.02</v>
      </c>
      <c r="I127"/>
      <c r="R127"/>
    </row>
    <row r="128" spans="6:18" x14ac:dyDescent="0.3">
      <c r="F128"/>
      <c r="G128"/>
      <c r="H128"/>
      <c r="I128"/>
      <c r="R128"/>
    </row>
    <row r="129" spans="6:18" x14ac:dyDescent="0.3">
      <c r="F129"/>
      <c r="G129"/>
      <c r="H129"/>
      <c r="I129"/>
      <c r="R129"/>
    </row>
    <row r="130" spans="6:18" x14ac:dyDescent="0.3">
      <c r="F130"/>
      <c r="G130"/>
      <c r="H130"/>
      <c r="I130"/>
      <c r="R130"/>
    </row>
    <row r="131" spans="6:18" x14ac:dyDescent="0.3">
      <c r="F131"/>
      <c r="G131"/>
      <c r="H131"/>
      <c r="I131"/>
      <c r="R131"/>
    </row>
  </sheetData>
  <pageMargins left="0.7" right="0.7" top="0.75" bottom="0.75" header="0.3" footer="0.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58BE1-2579-4A81-AE7D-EBAB4B1E823B}">
  <dimension ref="O40"/>
  <sheetViews>
    <sheetView topLeftCell="A10" zoomScale="115" zoomScaleNormal="115" workbookViewId="0">
      <selection activeCell="Q30" sqref="Q30"/>
    </sheetView>
  </sheetViews>
  <sheetFormatPr defaultRowHeight="14.4" x14ac:dyDescent="0.3"/>
  <cols>
    <col min="1" max="16384" width="8.88671875" style="17"/>
  </cols>
  <sheetData>
    <row r="40" spans="15:15" x14ac:dyDescent="0.3">
      <c r="O40" s="17" t="s">
        <v>126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53AD4-91D4-4899-A614-BF9E8AC24765}">
  <dimension ref="B3:L27"/>
  <sheetViews>
    <sheetView topLeftCell="A4" zoomScale="98" zoomScaleNormal="98" workbookViewId="0">
      <selection activeCell="G30" sqref="G30"/>
    </sheetView>
  </sheetViews>
  <sheetFormatPr defaultRowHeight="14.4" x14ac:dyDescent="0.3"/>
  <cols>
    <col min="2" max="2" width="10.44140625" customWidth="1"/>
    <col min="3" max="3" width="49.109375" bestFit="1" customWidth="1"/>
    <col min="4" max="4" width="16.5546875" bestFit="1" customWidth="1"/>
    <col min="6" max="6" width="8.88671875" style="1"/>
    <col min="7" max="7" width="15.33203125" style="1" bestFit="1" customWidth="1"/>
    <col min="8" max="8" width="27.6640625" bestFit="1" customWidth="1"/>
    <col min="9" max="9" width="15.33203125" bestFit="1" customWidth="1"/>
    <col min="12" max="12" width="23.33203125" bestFit="1" customWidth="1"/>
    <col min="13" max="13" width="16.5546875" bestFit="1" customWidth="1"/>
  </cols>
  <sheetData>
    <row r="3" spans="2:9" x14ac:dyDescent="0.3">
      <c r="C3" s="5" t="s">
        <v>27</v>
      </c>
      <c r="H3" s="5" t="s">
        <v>28</v>
      </c>
    </row>
    <row r="4" spans="2:9" x14ac:dyDescent="0.3">
      <c r="B4" s="1"/>
    </row>
    <row r="5" spans="2:9" x14ac:dyDescent="0.3">
      <c r="B5" s="1" t="s">
        <v>29</v>
      </c>
      <c r="C5" t="s">
        <v>1</v>
      </c>
      <c r="D5" t="s">
        <v>2</v>
      </c>
      <c r="F5" s="1" t="s">
        <v>29</v>
      </c>
      <c r="G5" s="1" t="s">
        <v>0</v>
      </c>
      <c r="H5" t="s">
        <v>1</v>
      </c>
      <c r="I5" t="s">
        <v>2</v>
      </c>
    </row>
    <row r="6" spans="2:9" ht="18" customHeight="1" x14ac:dyDescent="0.3">
      <c r="B6" s="1">
        <v>1</v>
      </c>
      <c r="C6" t="s">
        <v>70</v>
      </c>
      <c r="D6" s="8">
        <v>1783759</v>
      </c>
      <c r="H6" t="s">
        <v>71</v>
      </c>
      <c r="I6" s="8">
        <v>16015</v>
      </c>
    </row>
    <row r="7" spans="2:9" x14ac:dyDescent="0.3">
      <c r="B7" s="1">
        <v>2</v>
      </c>
      <c r="D7" s="8"/>
      <c r="F7" s="1">
        <v>1</v>
      </c>
      <c r="G7" s="9">
        <v>44844</v>
      </c>
      <c r="H7" t="s">
        <v>30</v>
      </c>
      <c r="I7" s="8">
        <v>15000</v>
      </c>
    </row>
    <row r="8" spans="2:9" x14ac:dyDescent="0.3">
      <c r="B8" s="1"/>
      <c r="D8" s="8"/>
      <c r="F8" s="1">
        <v>2</v>
      </c>
      <c r="G8" s="9">
        <v>44933</v>
      </c>
      <c r="H8" t="s">
        <v>32</v>
      </c>
      <c r="I8" s="8">
        <v>15000</v>
      </c>
    </row>
    <row r="9" spans="2:9" x14ac:dyDescent="0.3">
      <c r="B9" s="1">
        <v>2</v>
      </c>
      <c r="C9" t="s">
        <v>31</v>
      </c>
      <c r="D9" s="8">
        <v>600000</v>
      </c>
      <c r="F9" s="1">
        <v>3</v>
      </c>
      <c r="G9" s="9">
        <v>45097</v>
      </c>
      <c r="H9" t="s">
        <v>33</v>
      </c>
      <c r="I9" s="8">
        <v>3000</v>
      </c>
    </row>
    <row r="10" spans="2:9" x14ac:dyDescent="0.3">
      <c r="B10" s="10"/>
      <c r="C10" s="5" t="s">
        <v>6</v>
      </c>
      <c r="D10" s="11">
        <f>SUBTOTAL(109,D6:D9)</f>
        <v>2383759</v>
      </c>
      <c r="F10" s="1">
        <v>4</v>
      </c>
      <c r="G10" s="9">
        <v>45189</v>
      </c>
      <c r="H10" t="s">
        <v>34</v>
      </c>
      <c r="I10" s="8">
        <v>21240</v>
      </c>
    </row>
    <row r="11" spans="2:9" x14ac:dyDescent="0.3">
      <c r="B11" s="1"/>
      <c r="D11" s="8"/>
      <c r="F11" s="1">
        <v>4</v>
      </c>
      <c r="G11" s="9">
        <v>45187</v>
      </c>
      <c r="H11" t="s">
        <v>35</v>
      </c>
      <c r="I11" s="8">
        <v>317714</v>
      </c>
    </row>
    <row r="12" spans="2:9" x14ac:dyDescent="0.3">
      <c r="B12" s="1"/>
      <c r="D12" s="8"/>
      <c r="F12" s="1">
        <v>5</v>
      </c>
      <c r="G12" s="9">
        <v>45191</v>
      </c>
      <c r="H12" t="s">
        <v>36</v>
      </c>
      <c r="I12" s="8">
        <v>2000</v>
      </c>
    </row>
    <row r="13" spans="2:9" x14ac:dyDescent="0.3">
      <c r="B13" s="1"/>
      <c r="D13" s="8"/>
      <c r="F13" s="1">
        <v>6</v>
      </c>
      <c r="G13" s="9">
        <v>45233</v>
      </c>
      <c r="H13" t="s">
        <v>37</v>
      </c>
      <c r="I13" s="8">
        <v>518579</v>
      </c>
    </row>
    <row r="14" spans="2:9" x14ac:dyDescent="0.3">
      <c r="B14" s="1"/>
      <c r="D14" s="8"/>
      <c r="F14" s="1">
        <v>7</v>
      </c>
      <c r="G14" s="9">
        <v>45245</v>
      </c>
      <c r="H14" t="s">
        <v>38</v>
      </c>
      <c r="I14" s="8">
        <v>99700</v>
      </c>
    </row>
    <row r="15" spans="2:9" x14ac:dyDescent="0.3">
      <c r="B15" s="1"/>
      <c r="C15" t="s">
        <v>69</v>
      </c>
      <c r="D15" s="8">
        <v>1100000</v>
      </c>
      <c r="F15" s="1">
        <v>8</v>
      </c>
      <c r="G15" s="9">
        <v>45245</v>
      </c>
      <c r="H15" t="s">
        <v>39</v>
      </c>
      <c r="I15" s="8">
        <v>51972</v>
      </c>
    </row>
    <row r="16" spans="2:9" x14ac:dyDescent="0.3">
      <c r="B16" s="1"/>
      <c r="D16" s="8">
        <v>47.2</v>
      </c>
      <c r="F16" s="1">
        <v>9</v>
      </c>
      <c r="G16" s="9">
        <v>45265</v>
      </c>
      <c r="H16" t="s">
        <v>40</v>
      </c>
      <c r="I16" s="8">
        <v>46686</v>
      </c>
    </row>
    <row r="17" spans="3:12" x14ac:dyDescent="0.3">
      <c r="F17" s="1">
        <v>10</v>
      </c>
      <c r="G17" s="1" t="s">
        <v>41</v>
      </c>
      <c r="H17" t="s">
        <v>42</v>
      </c>
      <c r="I17" s="8">
        <v>29940</v>
      </c>
    </row>
    <row r="18" spans="3:12" x14ac:dyDescent="0.3">
      <c r="F18" s="1">
        <v>11</v>
      </c>
      <c r="G18" s="9">
        <v>45271</v>
      </c>
      <c r="H18" t="s">
        <v>43</v>
      </c>
      <c r="I18" s="8">
        <v>6000</v>
      </c>
    </row>
    <row r="19" spans="3:12" x14ac:dyDescent="0.3">
      <c r="F19" s="1">
        <v>12</v>
      </c>
      <c r="H19" t="s">
        <v>44</v>
      </c>
      <c r="I19" s="8">
        <v>7224</v>
      </c>
    </row>
    <row r="20" spans="3:12" x14ac:dyDescent="0.3">
      <c r="F20" s="1">
        <v>13</v>
      </c>
      <c r="G20" s="1" t="s">
        <v>45</v>
      </c>
      <c r="H20" t="s">
        <v>46</v>
      </c>
      <c r="I20" s="8">
        <v>70000</v>
      </c>
    </row>
    <row r="21" spans="3:12" x14ac:dyDescent="0.3">
      <c r="H21" t="s">
        <v>62</v>
      </c>
      <c r="I21" s="8">
        <v>10000</v>
      </c>
    </row>
    <row r="22" spans="3:12" x14ac:dyDescent="0.3">
      <c r="F22" s="10"/>
      <c r="G22" s="10"/>
      <c r="H22" t="s">
        <v>63</v>
      </c>
      <c r="I22" s="8">
        <v>16300</v>
      </c>
    </row>
    <row r="23" spans="3:12" x14ac:dyDescent="0.3">
      <c r="C23" s="5" t="s">
        <v>47</v>
      </c>
      <c r="D23" s="12">
        <f>SUM(D10) - SUM(I24)</f>
        <v>1137389</v>
      </c>
      <c r="I23" s="8"/>
    </row>
    <row r="24" spans="3:12" x14ac:dyDescent="0.3">
      <c r="H24" s="5" t="s">
        <v>6</v>
      </c>
      <c r="I24" s="11">
        <f>SUBTOTAL(109,I6:I22)</f>
        <v>1246370</v>
      </c>
      <c r="L24" t="s">
        <v>48</v>
      </c>
    </row>
    <row r="26" spans="3:12" x14ac:dyDescent="0.3">
      <c r="C26" s="5" t="s">
        <v>49</v>
      </c>
      <c r="D26" s="11">
        <f>D23 - SUM(D9)</f>
        <v>537389</v>
      </c>
    </row>
    <row r="27" spans="3:12" x14ac:dyDescent="0.3">
      <c r="H27" s="5" t="s">
        <v>50</v>
      </c>
      <c r="I27" s="11">
        <v>1983689</v>
      </c>
    </row>
  </sheetData>
  <pageMargins left="0.7" right="0.7" top="0.75" bottom="0.75" header="0.3" footer="0.3"/>
  <pageSetup orientation="portrait" r:id="rId1"/>
  <legacy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Props1.xml><?xml version="1.0" encoding="utf-8"?>
<ds:datastoreItem xmlns:ds="http://schemas.openxmlformats.org/officeDocument/2006/customXml" ds:itemID="{B80BC6A0-68D8-4C2A-9B86-91EC8C0F8823}">
  <ds:schemaRefs/>
</ds:datastoreItem>
</file>

<file path=customXml/itemProps2.xml><?xml version="1.0" encoding="utf-8"?>
<ds:datastoreItem xmlns:ds="http://schemas.openxmlformats.org/officeDocument/2006/customXml" ds:itemID="{68323637-2674-453F-8C02-ADDE58A18817}">
  <ds:schemaRefs/>
</ds:datastoreItem>
</file>

<file path=customXml/itemProps3.xml><?xml version="1.0" encoding="utf-8"?>
<ds:datastoreItem xmlns:ds="http://schemas.openxmlformats.org/officeDocument/2006/customXml" ds:itemID="{9257FA55-111E-466C-A171-52FC071E581D}">
  <ds:schemaRefs/>
</ds:datastoreItem>
</file>

<file path=customXml/itemProps4.xml><?xml version="1.0" encoding="utf-8"?>
<ds:datastoreItem xmlns:ds="http://schemas.openxmlformats.org/officeDocument/2006/customXml" ds:itemID="{27ED38C2-4337-465C-A4A0-FC2D3E748017}">
  <ds:schemaRefs/>
</ds:datastoreItem>
</file>

<file path=customXml/itemProps5.xml><?xml version="1.0" encoding="utf-8"?>
<ds:datastoreItem xmlns:ds="http://schemas.openxmlformats.org/officeDocument/2006/customXml" ds:itemID="{03AB49C4-8F08-4653-A446-63AA2E91D69C}">
  <ds:schemaRefs/>
</ds:datastoreItem>
</file>

<file path=customXml/itemProps6.xml><?xml version="1.0" encoding="utf-8"?>
<ds:datastoreItem xmlns:ds="http://schemas.openxmlformats.org/officeDocument/2006/customXml" ds:itemID="{5A04BB88-1B6D-4012-9081-89E52DD2C250}">
  <ds:schemaRefs/>
</ds:datastoreItem>
</file>

<file path=customXml/itemProps7.xml><?xml version="1.0" encoding="utf-8"?>
<ds:datastoreItem xmlns:ds="http://schemas.openxmlformats.org/officeDocument/2006/customXml" ds:itemID="{AE9AF46F-D2A6-49EE-A2D4-2F450E4C5F0C}">
  <ds:schemaRefs/>
</ds:datastoreItem>
</file>

<file path=customXml/itemProps8.xml><?xml version="1.0" encoding="utf-8"?>
<ds:datastoreItem xmlns:ds="http://schemas.openxmlformats.org/officeDocument/2006/customXml" ds:itemID="{05EE395D-79F2-46E7-8B33-1B33B80747C2}">
  <ds:schemaRefs/>
</ds:datastoreItem>
</file>

<file path=customXml/itemProps9.xml><?xml version="1.0" encoding="utf-8"?>
<ds:datastoreItem xmlns:ds="http://schemas.openxmlformats.org/officeDocument/2006/customXml" ds:itemID="{9B3091CB-7C0A-4DC7-9BEC-AFA752F542B4}">
  <ds:schemaRefs/>
</ds:datastoreItem>
</file>

<file path=customXml/itemProps10.xml><?xml version="1.0" encoding="utf-8"?>
<ds:datastoreItem xmlns:ds="http://schemas.openxmlformats.org/officeDocument/2006/customXml" ds:itemID="{E153304F-2CA7-4E68-8A49-775723057FD2}">
  <ds:schemaRefs>
    <ds:schemaRef ds:uri="http://schemas.microsoft.com/DataMashup"/>
  </ds:schemaRefs>
</ds:datastoreItem>
</file>

<file path=customXml/itemProps11.xml><?xml version="1.0" encoding="utf-8"?>
<ds:datastoreItem xmlns:ds="http://schemas.openxmlformats.org/officeDocument/2006/customXml" ds:itemID="{E31AA1F2-EDE1-4C8C-AB54-D843234A9FA5}">
  <ds:schemaRefs/>
</ds:datastoreItem>
</file>

<file path=customXml/itemProps12.xml><?xml version="1.0" encoding="utf-8"?>
<ds:datastoreItem xmlns:ds="http://schemas.openxmlformats.org/officeDocument/2006/customXml" ds:itemID="{FB199422-0E7C-4352-93D0-068450EBD61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Data</vt:lpstr>
      <vt:lpstr>Analyse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Halani</dc:creator>
  <cp:lastModifiedBy>Halani, Sahil (Student)</cp:lastModifiedBy>
  <dcterms:created xsi:type="dcterms:W3CDTF">2015-06-05T18:17:20Z</dcterms:created>
  <dcterms:modified xsi:type="dcterms:W3CDTF">2025-07-07T19:40:52Z</dcterms:modified>
</cp:coreProperties>
</file>